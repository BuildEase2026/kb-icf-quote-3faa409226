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drawings/drawing6.xml" ContentType="application/vnd.openxmlformats-officedocument.drawing+xml"/>
  <Override PartName="/xl/worksheets/sheet15.xml" ContentType="application/vnd.openxmlformats-officedocument.spreadsheetml.worksheet+xml"/>
  <Override PartName="/xl/drawings/drawing7.xml" ContentType="application/vnd.openxmlformats-officedocument.drawing+xml"/>
  <Override PartName="/xl/worksheets/sheet16.xml" ContentType="application/vnd.openxmlformats-officedocument.spreadsheetml.worksheet+xml"/>
  <Override PartName="/xl/drawings/drawing8.xml" ContentType="application/vnd.openxmlformats-officedocument.drawing+xml"/>
  <Override PartName="/xl/worksheets/sheet17.xml" ContentType="application/vnd.openxmlformats-officedocument.spreadsheetml.worksheet+xml"/>
  <Override PartName="/xl/drawings/drawing9.xml" ContentType="application/vnd.openxmlformats-officedocument.drawing+xml"/>
  <Override PartName="/xl/worksheets/sheet18.xml" ContentType="application/vnd.openxmlformats-officedocument.spreadsheetml.worksheet+xml"/>
  <Override PartName="/xl/drawings/drawing10.xml" ContentType="application/vnd.openxmlformats-officedocument.drawing+xml"/>
  <Override PartName="/xl/worksheets/sheet19.xml" ContentType="application/vnd.openxmlformats-officedocument.spreadsheetml.worksheet+xml"/>
  <Override PartName="/xl/drawings/drawing11.xml" ContentType="application/vnd.openxmlformats-officedocument.drawing+xml"/>
  <Override PartName="/xl/worksheets/sheet20.xml" ContentType="application/vnd.openxmlformats-officedocument.spreadsheetml.worksheet+xml"/>
  <Override PartName="/xl/drawings/drawing12.xml" ContentType="application/vnd.openxmlformats-officedocument.drawing+xml"/>
  <Override PartName="/xl/worksheets/sheet21.xml" ContentType="application/vnd.openxmlformats-officedocument.spreadsheetml.worksheet+xml"/>
  <Override PartName="/xl/drawings/drawing13.xml" ContentType="application/vnd.openxmlformats-officedocument.drawing+xml"/>
  <Override PartName="/xl/worksheets/sheet22.xml" ContentType="application/vnd.openxmlformats-officedocument.spreadsheetml.worksheet+xml"/>
  <Override PartName="/xl/drawings/drawing14.xml" ContentType="application/vnd.openxmlformats-officedocument.drawing+xml"/>
  <Override PartName="/xl/worksheets/sheet23.xml" ContentType="application/vnd.openxmlformats-officedocument.spreadsheetml.worksheet+xml"/>
  <Override PartName="/xl/drawings/drawing15.xml" ContentType="application/vnd.openxmlformats-officedocument.drawing+xml"/>
  <Override PartName="/xl/worksheets/sheet24.xml" ContentType="application/vnd.openxmlformats-officedocument.spreadsheetml.worksheet+xml"/>
  <Override PartName="/xl/drawings/drawing16.xml" ContentType="application/vnd.openxmlformats-officedocument.drawing+xml"/>
  <Override PartName="/xl/worksheets/sheet25.xml" ContentType="application/vnd.openxmlformats-officedocument.spreadsheetml.worksheet+xml"/>
  <Override PartName="/xl/drawings/drawing1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Programme" sheetId="3" state="visible" r:id="rId3"/>
    <sheet xmlns:r="http://schemas.openxmlformats.org/officeDocument/2006/relationships" name="Summary" sheetId="4" state="visible" r:id="rId4"/>
    <sheet xmlns:r="http://schemas.openxmlformats.org/officeDocument/2006/relationships" name="A_Preliminaries" sheetId="5" state="visible" r:id="rId5"/>
    <sheet xmlns:r="http://schemas.openxmlformats.org/officeDocument/2006/relationships" name="B_ICF_Supply" sheetId="6" state="visible" r:id="rId6"/>
    <sheet xmlns:r="http://schemas.openxmlformats.org/officeDocument/2006/relationships" name="C_Concrete" sheetId="7" state="visible" r:id="rId7"/>
    <sheet xmlns:r="http://schemas.openxmlformats.org/officeDocument/2006/relationships" name="D_Labour" sheetId="8" state="visible" r:id="rId8"/>
    <sheet xmlns:r="http://schemas.openxmlformats.org/officeDocument/2006/relationships" name="F_Reference" sheetId="9" state="visible" r:id="rId9"/>
    <sheet xmlns:r="http://schemas.openxmlformats.org/officeDocument/2006/relationships" name="Finishes Cover" sheetId="10" state="visible" r:id="rId10"/>
    <sheet xmlns:r="http://schemas.openxmlformats.org/officeDocument/2006/relationships" name="General Notes" sheetId="11" state="visible" r:id="rId11"/>
    <sheet xmlns:r="http://schemas.openxmlformats.org/officeDocument/2006/relationships" name="Summary of Bills" sheetId="12" state="visible" r:id="rId12"/>
    <sheet xmlns:r="http://schemas.openxmlformats.org/officeDocument/2006/relationships" name="Bill 1 External Finish" sheetId="13" state="visible" r:id="rId13"/>
    <sheet xmlns:r="http://schemas.openxmlformats.org/officeDocument/2006/relationships" name="Bill 2 Internal Linings" sheetId="14" state="visible" r:id="rId14"/>
    <sheet xmlns:r="http://schemas.openxmlformats.org/officeDocument/2006/relationships" name="Bill 3 Doors" sheetId="15" state="visible" r:id="rId15"/>
    <sheet xmlns:r="http://schemas.openxmlformats.org/officeDocument/2006/relationships" name="Bill 4 Joinery" sheetId="16" state="visible" r:id="rId16"/>
    <sheet xmlns:r="http://schemas.openxmlformats.org/officeDocument/2006/relationships" name="Bill 5 Partitions" sheetId="17" state="visible" r:id="rId17"/>
    <sheet xmlns:r="http://schemas.openxmlformats.org/officeDocument/2006/relationships" name="Bill 6 Slabs" sheetId="18" state="visible" r:id="rId18"/>
    <sheet xmlns:r="http://schemas.openxmlformats.org/officeDocument/2006/relationships" name="Bill 7 Roof" sheetId="19" state="visible" r:id="rId19"/>
    <sheet xmlns:r="http://schemas.openxmlformats.org/officeDocument/2006/relationships" name="Bill 8 Glazing" sheetId="20" state="visible" r:id="rId20"/>
    <sheet xmlns:r="http://schemas.openxmlformats.org/officeDocument/2006/relationships" name="Bill 9 Waterproofing Pool" sheetId="21" state="visible" r:id="rId21"/>
    <sheet xmlns:r="http://schemas.openxmlformats.org/officeDocument/2006/relationships" name="Schedule A Areas" sheetId="22" state="visible" r:id="rId22"/>
    <sheet xmlns:r="http://schemas.openxmlformats.org/officeDocument/2006/relationships" name="Schedule B Openings" sheetId="23" state="visible" r:id="rId23"/>
    <sheet xmlns:r="http://schemas.openxmlformats.org/officeDocument/2006/relationships" name="Schedule C Per Level" sheetId="24" state="visible" r:id="rId24"/>
    <sheet xmlns:r="http://schemas.openxmlformats.org/officeDocument/2006/relationships" name="Schedule D Partitions" sheetId="25" state="visible" r:id="rId25"/>
  </sheets>
  <definedNames>
    <definedName name="FINISHES_NET_TOTAL">'Finishes Cover'!$F$30</definedName>
    <definedName name="FINISHES_GRAND_TOTAL">'Finishes Cover'!$F$36</definedName>
    <definedName name="ICF_PACKAGE_TOTAL">'Finishes Cover'!$F$39</definedName>
    <definedName name="COMBINED_TOTAL">'Finishes Cover'!$F$40</definedName>
    <definedName name="_xlnm.Print_Area" localSheetId="4">'A_Preliminaries'!$A$1:$F$22</definedName>
    <definedName name="_xlnm.Print_Area" localSheetId="5">'B_ICF_Supply'!$A$1:$F$17</definedName>
    <definedName name="_xlnm.Print_Area" localSheetId="6">'C_Concrete'!$A$1:$F$16</definedName>
    <definedName name="_xlnm.Print_Area" localSheetId="7">'D_Labour'!$A$1:$F$15</definedName>
    <definedName name="_xlnm.Print_Area" localSheetId="9">'Finishes Cover'!$A$1:$F$81</definedName>
    <definedName name="_xlnm.Print_Titles" localSheetId="11">'Summary of Bills'!$6:$6</definedName>
    <definedName name="_xlnm.Print_Titles" localSheetId="12">'Bill 1 External Finish'!$6:$7</definedName>
    <definedName name="_xlnm.Print_Area" localSheetId="12">'Bill 1 External Finish'!$A$1:$N$28</definedName>
    <definedName name="_xlnm.Print_Titles" localSheetId="13">'Bill 2 Internal Linings'!$6:$7</definedName>
    <definedName name="_xlnm.Print_Area" localSheetId="13">'Bill 2 Internal Linings'!$A$1:$N$41</definedName>
    <definedName name="_xlnm.Print_Titles" localSheetId="14">'Bill 3 Doors'!$6:$7</definedName>
    <definedName name="_xlnm.Print_Area" localSheetId="14">'Bill 3 Doors'!$A$1:$N$30</definedName>
    <definedName name="_xlnm.Print_Titles" localSheetId="15">'Bill 4 Joinery'!$6:$7</definedName>
    <definedName name="_xlnm.Print_Area" localSheetId="15">'Bill 4 Joinery'!$A$1:$N$32</definedName>
    <definedName name="_xlnm.Print_Titles" localSheetId="16">'Bill 5 Partitions'!$6:$7</definedName>
    <definedName name="_xlnm.Print_Area" localSheetId="16">'Bill 5 Partitions'!$A$1:$N$44</definedName>
    <definedName name="_xlnm.Print_Titles" localSheetId="17">'Bill 6 Slabs'!$6:$7</definedName>
    <definedName name="_xlnm.Print_Area" localSheetId="17">'Bill 6 Slabs'!$A$1:$N$34</definedName>
    <definedName name="_xlnm.Print_Titles" localSheetId="18">'Bill 7 Roof'!$6:$7</definedName>
    <definedName name="_xlnm.Print_Area" localSheetId="18">'Bill 7 Roof'!$A$1:$N$50</definedName>
    <definedName name="_xlnm.Print_Titles" localSheetId="19">'Bill 8 Glazing'!$6:$7</definedName>
    <definedName name="_xlnm.Print_Area" localSheetId="19">'Bill 8 Glazing'!$A$1:$N$45</definedName>
    <definedName name="_xlnm.Print_Titles" localSheetId="20">'Bill 9 Waterproofing Pool'!$6:$7</definedName>
    <definedName name="_xlnm.Print_Area" localSheetId="20">'Bill 9 Waterproofing Pool'!$A$1:$N$32</definedName>
    <definedName name="_xlnm.Print_Titles" localSheetId="21">'Schedule A Areas'!$6:$6</definedName>
    <definedName name="_xlnm.Print_Titles" localSheetId="22">'Schedule B Openings'!$6:$6</definedName>
    <definedName name="_xlnm.Print_Titles" localSheetId="23">'Schedule C Per Level'!$6:$6</definedName>
    <definedName name="_xlnm.Print_Titles" localSheetId="24">'Schedule D Partitions'!$6:$6</definedName>
  </definedNames>
  <calcPr calcId="12451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45">
    <font>
      <name val="Calibri"/>
      <family val="2"/>
      <color theme="1"/>
      <sz val="11"/>
      <scheme val="minor"/>
    </font>
    <font>
      <name val="Calibri"/>
      <b val="1"/>
      <color rgb="001A2744"/>
      <sz val="28"/>
    </font>
    <font>
      <name val="Calibri"/>
      <b val="1"/>
      <color rgb="00FFFFFF"/>
      <sz val="12"/>
    </font>
    <font>
      <name val="Calibri"/>
      <b val="1"/>
      <color rgb="002C3E50"/>
      <sz val="24"/>
    </font>
    <font>
      <name val="Calibri"/>
      <i val="1"/>
      <color rgb="005A6C7D"/>
      <sz val="13"/>
    </font>
    <font>
      <name val="Calibri"/>
      <b val="1"/>
      <color rgb="001A2744"/>
      <sz val="10.5"/>
    </font>
    <font>
      <name val="Calibri"/>
      <color rgb="002C3E50"/>
      <sz val="10.5"/>
    </font>
    <font>
      <name val="Calibri"/>
      <b val="1"/>
      <color rgb="00FFFFFF"/>
      <sz val="11"/>
    </font>
    <font>
      <name val="Calibri"/>
      <color rgb="002C3E50"/>
      <sz val="10"/>
    </font>
    <font>
      <name val="Calibri"/>
      <b val="1"/>
      <color rgb="00FFFFFF"/>
      <sz val="18"/>
    </font>
    <font>
      <name val="Calibri"/>
      <b val="1"/>
      <color rgb="00FFFFFF"/>
      <sz val="10.5"/>
    </font>
    <font>
      <name val="Calibri"/>
      <b val="1"/>
      <color rgb="001A2744"/>
      <sz val="11"/>
    </font>
    <font>
      <name val="Calibri"/>
      <color rgb="002C3E50"/>
      <sz val="11"/>
    </font>
    <font>
      <name val="Calibri"/>
      <b val="1"/>
      <color rgb="00169B7D"/>
      <sz val="11"/>
    </font>
    <font>
      <name val="Calibri"/>
      <i val="1"/>
      <color rgb="005A6C7D"/>
      <sz val="11"/>
    </font>
    <font>
      <name val="Calibri"/>
      <b val="1"/>
      <color rgb="00FFFFFF"/>
      <sz val="13"/>
    </font>
    <font>
      <name val="Calibri"/>
      <i val="1"/>
      <color rgb="005A6C7D"/>
      <sz val="10"/>
    </font>
    <font>
      <name val="Calibri"/>
      <b val="1"/>
      <color rgb="00FFFFFF"/>
      <sz val="9"/>
    </font>
    <font>
      <name val="Calibri"/>
      <b val="1"/>
      <color rgb="001A2744"/>
      <sz val="12"/>
    </font>
    <font>
      <name val="Calibri"/>
      <b val="1"/>
      <color rgb="002C3E50"/>
      <sz val="11"/>
    </font>
    <font>
      <name val="Calibri"/>
      <b val="1"/>
      <color rgb="00FFFFFF"/>
      <sz val="14"/>
    </font>
    <font>
      <b val="1"/>
      <color rgb="005A3B00"/>
      <sz val="10"/>
    </font>
    <font>
      <b val="1"/>
      <color rgb="000E3B36"/>
      <sz val="14"/>
    </font>
    <font>
      <color rgb="00555555"/>
      <sz val="9"/>
    </font>
    <font>
      <b val="1"/>
      <color rgb="005A3B00"/>
      <sz val="8.5"/>
    </font>
    <font>
      <b val="1"/>
      <color rgb="00FFFFFF"/>
    </font>
    <font>
      <b val="1"/>
      <color rgb="005A3B00"/>
    </font>
    <font>
      <b val="1"/>
      <color rgb="00FFFFFF"/>
      <sz val="9"/>
    </font>
    <font>
      <i val="1"/>
      <color rgb="00444444"/>
      <sz val="8.5"/>
    </font>
    <font>
      <b val="1"/>
      <color rgb="000E3B36"/>
    </font>
    <font>
      <color rgb="00444444"/>
      <sz val="7.5"/>
    </font>
    <font>
      <i val="1"/>
      <color rgb="00444444"/>
      <sz val="9"/>
    </font>
    <font>
      <b val="1"/>
    </font>
    <font>
      <color rgb="00444444"/>
      <sz val="8.5"/>
    </font>
    <font/>
    <font>
      <b val="1"/>
      <color rgb="00FFFFFF"/>
      <sz val="11"/>
    </font>
    <font>
      <i val="1"/>
      <color rgb="00555555"/>
      <sz val="8.5"/>
    </font>
    <font>
      <i val="1"/>
      <sz val="9.5"/>
    </font>
    <font>
      <i val="1"/>
      <color rgb="00888888"/>
      <sz val="8"/>
    </font>
    <font>
      <b val="1"/>
      <sz val="9.5"/>
    </font>
    <font>
      <b val="1"/>
      <color rgb="00444444"/>
      <sz val="8.5"/>
    </font>
    <font>
      <i val="1"/>
      <sz val="9"/>
    </font>
    <font>
      <b val="1"/>
      <color rgb="000E3B36"/>
      <sz val="9"/>
    </font>
    <font>
      <b val="1"/>
      <sz val="11"/>
    </font>
    <font>
      <b val="1"/>
      <color rgb="000E3B36"/>
      <sz val="12"/>
    </font>
  </fonts>
  <fills count="18">
    <fill>
      <patternFill/>
    </fill>
    <fill>
      <patternFill patternType="gray125"/>
    </fill>
    <fill>
      <patternFill patternType="solid">
        <fgColor rgb="001BAD8D"/>
        <bgColor rgb="001BAD8D"/>
      </patternFill>
    </fill>
    <fill>
      <patternFill patternType="solid">
        <fgColor rgb="00F8F9FA"/>
        <bgColor rgb="00F8F9FA"/>
      </patternFill>
    </fill>
    <fill>
      <patternFill patternType="solid">
        <fgColor rgb="001A2744"/>
        <bgColor rgb="001A2744"/>
      </patternFill>
    </fill>
    <fill>
      <patternFill patternType="solid">
        <fgColor rgb="00F4F6F7"/>
        <bgColor rgb="00F4F6F7"/>
      </patternFill>
    </fill>
    <fill>
      <patternFill patternType="solid">
        <fgColor rgb="00F59E0B"/>
        <bgColor rgb="00F59E0B"/>
      </patternFill>
    </fill>
    <fill>
      <patternFill patternType="solid">
        <fgColor rgb="00D1D5DB"/>
        <bgColor rgb="00D1D5DB"/>
      </patternFill>
    </fill>
    <fill>
      <patternFill patternType="solid">
        <fgColor rgb="005B7DB1"/>
        <bgColor rgb="005B7DB1"/>
      </patternFill>
    </fill>
    <fill>
      <patternFill patternType="solid">
        <fgColor rgb="008B5CF6"/>
        <bgColor rgb="008B5CF6"/>
      </patternFill>
    </fill>
    <fill>
      <patternFill patternType="solid">
        <fgColor rgb="00D6EAF8"/>
        <bgColor rgb="00D6EAF8"/>
      </patternFill>
    </fill>
    <fill>
      <patternFill patternType="solid">
        <fgColor rgb="00FFF9C4"/>
        <bgColor rgb="00FFF9C4"/>
      </patternFill>
    </fill>
    <fill>
      <patternFill patternType="solid">
        <fgColor rgb="00FFF4DE"/>
      </patternFill>
    </fill>
    <fill>
      <patternFill patternType="solid">
        <fgColor rgb="001F8A7A"/>
      </patternFill>
    </fill>
    <fill>
      <patternFill patternType="solid">
        <fgColor rgb="000E3B36"/>
      </patternFill>
    </fill>
    <fill>
      <patternFill patternType="solid">
        <fgColor rgb="00E3F2EF"/>
      </patternFill>
    </fill>
    <fill>
      <patternFill patternType="solid">
        <fgColor rgb="00FFF2B3"/>
      </patternFill>
    </fill>
    <fill>
      <patternFill patternType="solid">
        <fgColor rgb="00EEEEEE"/>
      </patternFill>
    </fill>
  </fills>
  <borders count="14">
    <border>
      <left/>
      <right/>
      <top/>
      <bottom/>
      <diagonal/>
    </border>
    <border>
      <left style="thin">
        <color rgb="00DFE4EA"/>
      </left>
      <right style="thin">
        <color rgb="00DFE4EA"/>
      </right>
      <top style="thin">
        <color rgb="00DFE4EA"/>
      </top>
      <bottom style="thin">
        <color rgb="00DFE4EA"/>
      </bottom>
    </border>
    <border>
      <left style="medium">
        <color rgb="001A2744"/>
      </left>
      <right style="medium">
        <color rgb="001A2744"/>
      </right>
      <top style="medium">
        <color rgb="001A2744"/>
      </top>
      <bottom style="medium">
        <color rgb="001A2744"/>
      </bottom>
    </border>
    <border>
      <left/>
      <right/>
      <top style="thin">
        <color rgb="00DFE4EA"/>
      </top>
      <bottom/>
      <diagonal/>
    </border>
    <border>
      <left/>
      <right style="thin">
        <color rgb="00DFE4EA"/>
      </right>
      <top style="thin">
        <color rgb="00DFE4EA"/>
      </top>
      <bottom/>
      <diagonal/>
    </border>
    <border>
      <left/>
      <right style="thin">
        <color rgb="00DFE4EA"/>
      </right>
      <top style="thin">
        <color rgb="00DFE4EA"/>
      </top>
      <bottom style="thin">
        <color rgb="00DFE4EA"/>
      </bottom>
      <diagonal/>
    </border>
    <border>
      <left/>
      <right/>
      <top style="thin">
        <color rgb="00DFE4EA"/>
      </top>
      <bottom style="thin">
        <color rgb="00DFE4EA"/>
      </bottom>
      <diagonal/>
    </border>
    <border>
      <left style="thick">
        <color rgb="00C98A1B"/>
      </left>
    </border>
    <border>
      <left style="thin">
        <color rgb="00B7C9C5"/>
      </left>
      <right style="thin">
        <color rgb="00B7C9C5"/>
      </right>
      <top style="thin">
        <color rgb="00B7C9C5"/>
      </top>
      <bottom style="thin">
        <color rgb="00B7C9C5"/>
      </bottom>
    </border>
    <border>
      <left/>
      <right/>
      <top style="thin">
        <color rgb="00B7C9C5"/>
      </top>
      <bottom/>
      <diagonal/>
    </border>
    <border>
      <left/>
      <right style="thin">
        <color rgb="00B7C9C5"/>
      </right>
      <top style="thin">
        <color rgb="00B7C9C5"/>
      </top>
      <bottom/>
      <diagonal/>
    </border>
    <border>
      <left/>
      <right/>
      <top style="thin">
        <color rgb="00B7C9C5"/>
      </top>
      <bottom style="thin">
        <color rgb="00B7C9C5"/>
      </bottom>
      <diagonal/>
    </border>
    <border>
      <left/>
      <right style="thin">
        <color rgb="00B7C9C5"/>
      </right>
      <top style="thin">
        <color rgb="00B7C9C5"/>
      </top>
      <bottom style="thin">
        <color rgb="00B7C9C5"/>
      </bottom>
      <diagonal/>
    </border>
    <border>
      <left style="thick">
        <color rgb="00C98A1B"/>
      </left>
      <right style="thin">
        <color rgb="00B7C9C5"/>
      </right>
      <top style="thin">
        <color rgb="00B7C9C5"/>
      </top>
      <bottom style="thin">
        <color rgb="00B7C9C5"/>
      </bottom>
    </border>
  </borders>
  <cellStyleXfs count="1">
    <xf numFmtId="0" fontId="0" fillId="0" borderId="0"/>
  </cellStyleXfs>
  <cellXfs count="127">
    <xf numFmtId="0" fontId="0" fillId="0" borderId="0" pivotButton="0" quotePrefix="0" xfId="0"/>
    <xf numFmtId="0" fontId="1"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3"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4" borderId="0" applyAlignment="1" pivotButton="0" quotePrefix="0" xfId="0">
      <alignment horizontal="left" vertical="center" wrapText="1" indent="1"/>
    </xf>
    <xf numFmtId="0" fontId="8" fillId="0" borderId="1" applyAlignment="1" pivotButton="0" quotePrefix="0" xfId="0">
      <alignment horizontal="left" vertical="top" wrapText="1" indent="1"/>
    </xf>
    <xf numFmtId="0" fontId="21" fillId="12" borderId="0" applyAlignment="1" pivotButton="0" quotePrefix="0" xfId="0">
      <alignment vertical="top" wrapText="1"/>
    </xf>
    <xf numFmtId="0" fontId="9" fillId="4" borderId="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left" vertical="center" wrapText="1" inden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left" vertical="center" wrapText="1" inden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0" fillId="5" borderId="1" pivotButton="0" quotePrefix="0" xfId="0"/>
    <xf numFmtId="0" fontId="15" fillId="4" borderId="0" applyAlignment="1" pivotButton="0" quotePrefix="0" xfId="0">
      <alignment horizontal="left" vertical="center"/>
    </xf>
    <xf numFmtId="0" fontId="16" fillId="0" borderId="0" applyAlignment="1" pivotButton="0" quotePrefix="0" xfId="0">
      <alignment horizontal="left" vertical="top" wrapText="1" indent="1"/>
    </xf>
    <xf numFmtId="0" fontId="17" fillId="2" borderId="1" applyAlignment="1" pivotButton="0" quotePrefix="0" xfId="0">
      <alignment horizontal="center" vertical="center" wrapText="1"/>
    </xf>
    <xf numFmtId="0" fontId="17" fillId="4" borderId="1" applyAlignment="1" pivotButton="0" quotePrefix="0" xfId="0">
      <alignment horizontal="center" vertical="center" wrapText="1"/>
    </xf>
    <xf numFmtId="0" fontId="11" fillId="0" borderId="1" applyAlignment="1" pivotButton="0" quotePrefix="0" xfId="0">
      <alignment horizontal="left" vertical="center" wrapText="1" indent="1"/>
    </xf>
    <xf numFmtId="3" fontId="12" fillId="0" borderId="1" applyAlignment="1" pivotButton="0" quotePrefix="0" xfId="0">
      <alignment horizontal="center" vertical="center" wrapText="1"/>
    </xf>
    <xf numFmtId="0" fontId="0" fillId="6" borderId="1" pivotButton="0" quotePrefix="0" xfId="0"/>
    <xf numFmtId="0" fontId="0" fillId="7" borderId="1" pivotButton="0" quotePrefix="0" xfId="0"/>
    <xf numFmtId="0" fontId="0" fillId="2" borderId="1" pivotButton="0" quotePrefix="0" xfId="0"/>
    <xf numFmtId="0" fontId="0" fillId="8" borderId="1" pivotButton="0" quotePrefix="0" xfId="0"/>
    <xf numFmtId="0" fontId="0" fillId="9" borderId="1" pivotButton="0" quotePrefix="0" xfId="0"/>
    <xf numFmtId="0" fontId="11" fillId="0" borderId="0" pivotButton="0" quotePrefix="0" xfId="0"/>
    <xf numFmtId="0" fontId="0" fillId="4" borderId="1" pivotButton="0" quotePrefix="0" xfId="0"/>
    <xf numFmtId="0" fontId="7" fillId="2" borderId="0" applyAlignment="1" pivotButton="0" quotePrefix="0" xfId="0">
      <alignment horizontal="left" vertical="center" wrapText="1" indent="1"/>
    </xf>
    <xf numFmtId="0" fontId="8" fillId="0" borderId="0" applyAlignment="1" pivotButton="0" quotePrefix="0" xfId="0">
      <alignment horizontal="left" vertical="top" wrapText="1" indent="1"/>
    </xf>
    <xf numFmtId="0" fontId="18" fillId="0" borderId="1" applyAlignment="1" pivotButton="0" quotePrefix="0" xfId="0">
      <alignment horizontal="center" vertical="center" wrapText="1"/>
    </xf>
    <xf numFmtId="164" fontId="12" fillId="0" borderId="1" applyAlignment="1" pivotButton="0" quotePrefix="0" xfId="0">
      <alignment horizontal="right" vertical="center" wrapText="1"/>
    </xf>
    <xf numFmtId="164" fontId="19" fillId="0" borderId="1" applyAlignment="1" pivotButton="0" quotePrefix="0" xfId="0">
      <alignment horizontal="right" vertical="center" wrapText="1"/>
    </xf>
    <xf numFmtId="0" fontId="0" fillId="10" borderId="2" pivotButton="0" quotePrefix="0" xfId="0"/>
    <xf numFmtId="0" fontId="18" fillId="10" borderId="2" applyAlignment="1" pivotButton="0" quotePrefix="0" xfId="0">
      <alignment horizontal="left" vertical="center" wrapText="1" indent="1"/>
    </xf>
    <xf numFmtId="164" fontId="18" fillId="10" borderId="2" applyAlignment="1" pivotButton="0" quotePrefix="0" xfId="0">
      <alignment horizontal="right" vertical="center" wrapText="1"/>
    </xf>
    <xf numFmtId="0" fontId="0" fillId="4" borderId="2" pivotButton="0" quotePrefix="0" xfId="0"/>
    <xf numFmtId="0" fontId="20" fillId="4" borderId="2" applyAlignment="1" pivotButton="0" quotePrefix="0" xfId="0">
      <alignment horizontal="left" vertical="center" wrapText="1" indent="1"/>
    </xf>
    <xf numFmtId="164" fontId="20" fillId="4" borderId="2" applyAlignment="1" pivotButton="0" quotePrefix="0" xfId="0">
      <alignment horizontal="right" vertical="center" wrapText="1"/>
    </xf>
    <xf numFmtId="0" fontId="7" fillId="4" borderId="0" applyAlignment="1" pivotButton="0" quotePrefix="0" xfId="0">
      <alignment horizontal="left" vertical="top" wrapText="1" inden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indent="1"/>
    </xf>
    <xf numFmtId="3" fontId="12" fillId="0" borderId="1" applyAlignment="1" pivotButton="0" quotePrefix="0" xfId="0">
      <alignment horizontal="right" vertical="center" wrapText="1"/>
    </xf>
    <xf numFmtId="164" fontId="12" fillId="11" borderId="1" applyAlignment="1" pivotButton="0" quotePrefix="0" xfId="0">
      <alignment horizontal="right"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top" wrapText="1" indent="1"/>
    </xf>
    <xf numFmtId="3" fontId="12" fillId="5" borderId="1" applyAlignment="1" pivotButton="0" quotePrefix="0" xfId="0">
      <alignment horizontal="right" vertical="center" wrapText="1"/>
    </xf>
    <xf numFmtId="164" fontId="12" fillId="5" borderId="1" applyAlignment="1" pivotButton="0" quotePrefix="0" xfId="0">
      <alignment horizontal="right" vertical="center" wrapText="1"/>
    </xf>
    <xf numFmtId="3" fontId="12" fillId="11" borderId="1" applyAlignment="1" pivotButton="0" quotePrefix="0" xfId="0">
      <alignment horizontal="right" vertical="center" wrapText="1"/>
    </xf>
    <xf numFmtId="0" fontId="0" fillId="10" borderId="1" pivotButton="0" quotePrefix="0" xfId="0"/>
    <xf numFmtId="0" fontId="11" fillId="10" borderId="1" applyAlignment="1" pivotButton="0" quotePrefix="0" xfId="0">
      <alignment horizontal="left" vertical="center" wrapText="1" indent="1"/>
    </xf>
    <xf numFmtId="164" fontId="11" fillId="10" borderId="1" applyAlignment="1" pivotButton="0" quotePrefix="0" xfId="0">
      <alignment horizontal="right" vertical="center" wrapText="1"/>
    </xf>
    <xf numFmtId="164" fontId="0" fillId="0" borderId="0" pivotButton="0" quotePrefix="0" xfId="0"/>
    <xf numFmtId="0" fontId="7" fillId="2" borderId="0" applyAlignment="1" pivotButton="0" quotePrefix="0" xfId="0">
      <alignment horizontal="left" vertical="center"/>
    </xf>
    <xf numFmtId="4" fontId="12" fillId="5" borderId="1" applyAlignment="1" pivotButton="0" quotePrefix="0" xfId="0">
      <alignment horizontal="right" vertical="center" wrapText="1"/>
    </xf>
    <xf numFmtId="4" fontId="12" fillId="0" borderId="1" applyAlignment="1" pivotButton="0" quotePrefix="0" xfId="0">
      <alignment horizontal="right" vertical="center" wrapText="1"/>
    </xf>
    <xf numFmtId="0" fontId="11" fillId="10" borderId="2" applyAlignment="1" pivotButton="0" quotePrefix="0" xfId="0">
      <alignment horizontal="left" vertical="center" wrapText="1" indent="1"/>
    </xf>
    <xf numFmtId="3" fontId="11" fillId="10" borderId="2" applyAlignment="1" pivotButton="0" quotePrefix="0" xfId="0">
      <alignment horizontal="center" vertical="center" wrapText="1"/>
    </xf>
    <xf numFmtId="4" fontId="11" fillId="10" borderId="2" applyAlignment="1" pivotButton="0" quotePrefix="0" xfId="0">
      <alignment horizontal="right" vertical="center" wrapText="1"/>
    </xf>
    <xf numFmtId="3" fontId="11" fillId="10" borderId="2" applyAlignment="1" pivotButton="0" quotePrefix="0" xfId="0">
      <alignment horizontal="right" vertical="center" wrapText="1"/>
    </xf>
    <xf numFmtId="164" fontId="11" fillId="10" borderId="2" applyAlignment="1" pivotButton="0" quotePrefix="0" xfId="0">
      <alignment horizontal="right" vertical="center" wrapText="1"/>
    </xf>
    <xf numFmtId="0" fontId="2" fillId="2" borderId="0" applyAlignment="1" pivotButton="0" quotePrefix="0" xfId="0">
      <alignment horizontal="left" vertical="center" wrapText="1" indent="1"/>
    </xf>
    <xf numFmtId="0" fontId="14" fillId="0" borderId="1" applyAlignment="1" pivotButton="0" quotePrefix="0" xfId="0">
      <alignment horizontal="left" vertical="center" wrapText="1" indent="1"/>
    </xf>
    <xf numFmtId="0" fontId="22" fillId="0" borderId="0" pivotButton="0" quotePrefix="0" xfId="0"/>
    <xf numFmtId="0" fontId="23" fillId="0" borderId="0" pivotButton="0" quotePrefix="0" xfId="0"/>
    <xf numFmtId="0" fontId="0" fillId="13" borderId="0" pivotButton="0" quotePrefix="0" xfId="0"/>
    <xf numFmtId="0" fontId="24" fillId="12" borderId="7" applyAlignment="1" pivotButton="0" quotePrefix="0" xfId="0">
      <alignment vertical="top" wrapText="1"/>
    </xf>
    <xf numFmtId="0" fontId="29" fillId="0" borderId="0" applyAlignment="1" pivotButton="0" quotePrefix="0" xfId="0">
      <alignment vertical="top" wrapText="1"/>
    </xf>
    <xf numFmtId="0" fontId="0" fillId="0" borderId="0" applyAlignment="1" pivotButton="0" quotePrefix="0" xfId="0">
      <alignment vertical="top" wrapText="1"/>
    </xf>
    <xf numFmtId="0" fontId="26" fillId="12" borderId="0" applyAlignment="1" pivotButton="0" quotePrefix="0" xfId="0">
      <alignment vertical="top" wrapText="1"/>
    </xf>
    <xf numFmtId="0" fontId="26" fillId="0" borderId="0" applyAlignment="1" pivotButton="0" quotePrefix="0" xfId="0">
      <alignment vertical="top" wrapText="1"/>
    </xf>
    <xf numFmtId="0" fontId="35" fillId="14" borderId="0" applyAlignment="1" pivotButton="0" quotePrefix="0" xfId="0">
      <alignment vertical="center"/>
    </xf>
    <xf numFmtId="0" fontId="27" fillId="14" borderId="8" applyAlignment="1" pivotButton="0" quotePrefix="0" xfId="0">
      <alignment horizontal="center" vertical="center" wrapText="1"/>
    </xf>
    <xf numFmtId="0" fontId="0" fillId="0" borderId="8" applyAlignment="1" pivotButton="0" quotePrefix="0" xfId="0">
      <alignment vertical="top" wrapText="1"/>
    </xf>
    <xf numFmtId="165" fontId="34" fillId="0" borderId="8" applyAlignment="1" pivotButton="0" quotePrefix="0" xfId="0">
      <alignment horizontal="right" vertical="top"/>
    </xf>
    <xf numFmtId="0" fontId="25" fillId="13" borderId="0" applyAlignment="1" pivotButton="0" quotePrefix="0" xfId="0">
      <alignment horizontal="right" vertical="center"/>
    </xf>
    <xf numFmtId="165" fontId="32" fillId="15" borderId="8" applyAlignment="1" pivotButton="0" quotePrefix="0" xfId="0">
      <alignment horizontal="right" vertical="top"/>
    </xf>
    <xf numFmtId="0" fontId="29" fillId="0" borderId="0" pivotButton="0" quotePrefix="0" xfId="0"/>
    <xf numFmtId="0" fontId="42" fillId="0" borderId="0" applyAlignment="1" pivotButton="0" quotePrefix="0" xfId="0">
      <alignment horizontal="right"/>
    </xf>
    <xf numFmtId="0" fontId="0" fillId="0" borderId="8" pivotButton="0" quotePrefix="0" xfId="0"/>
    <xf numFmtId="0" fontId="23" fillId="0" borderId="8" pivotButton="0" quotePrefix="0" xfId="0"/>
    <xf numFmtId="166" fontId="0" fillId="16" borderId="8" applyAlignment="1" applyProtection="1" pivotButton="0" quotePrefix="0" xfId="0">
      <alignment horizontal="right" vertical="top"/>
      <protection locked="0" hidden="0"/>
    </xf>
    <xf numFmtId="0" fontId="35" fillId="14" borderId="0" applyAlignment="1" pivotButton="0" quotePrefix="0" xfId="0">
      <alignment horizontal="right" vertical="center"/>
    </xf>
    <xf numFmtId="165" fontId="43" fillId="15" borderId="8" applyAlignment="1" pivotButton="0" quotePrefix="0" xfId="0">
      <alignment horizontal="right" vertical="top"/>
    </xf>
    <xf numFmtId="0" fontId="35" fillId="13" borderId="0" applyAlignment="1" pivotButton="0" quotePrefix="0" xfId="0">
      <alignment vertical="center"/>
    </xf>
    <xf numFmtId="165" fontId="32" fillId="0" borderId="8" applyAlignment="1" pivotButton="0" quotePrefix="0" xfId="0">
      <alignment horizontal="right" vertical="top"/>
    </xf>
    <xf numFmtId="0" fontId="36" fillId="0" borderId="0" applyAlignment="1" pivotButton="0" quotePrefix="0" xfId="0">
      <alignment vertical="top" wrapText="1"/>
    </xf>
    <xf numFmtId="0" fontId="21" fillId="12" borderId="13" applyAlignment="1" pivotButton="0" quotePrefix="0" xfId="0">
      <alignment vertical="top" wrapText="1"/>
    </xf>
    <xf numFmtId="4" fontId="32" fillId="0" borderId="8" applyAlignment="1" pivotButton="0" quotePrefix="0" xfId="0">
      <alignment horizontal="right" vertical="top"/>
    </xf>
    <xf numFmtId="0" fontId="44" fillId="0" borderId="0" pivotButton="0" quotePrefix="0" xfId="0"/>
    <xf numFmtId="0" fontId="0" fillId="0" borderId="11" pivotButton="0" quotePrefix="0" xfId="0"/>
    <xf numFmtId="0" fontId="0" fillId="0" borderId="12" pivotButton="0" quotePrefix="0" xfId="0"/>
    <xf numFmtId="0" fontId="25" fillId="13" borderId="0" pivotButton="0" quotePrefix="0" xfId="0"/>
    <xf numFmtId="0" fontId="29" fillId="15" borderId="0" pivotButton="0" quotePrefix="0" xfId="0"/>
    <xf numFmtId="0" fontId="25" fillId="14" borderId="0" pivotButton="0" quotePrefix="0" xfId="0"/>
    <xf numFmtId="0" fontId="41" fillId="0" borderId="0" applyAlignment="1" pivotButton="0" quotePrefix="0" xfId="0">
      <alignment vertical="top" wrapText="1"/>
    </xf>
    <xf numFmtId="0" fontId="23" fillId="0" borderId="0" applyAlignment="1" pivotButton="0" quotePrefix="0" xfId="0">
      <alignment vertical="top" wrapText="1"/>
    </xf>
    <xf numFmtId="0" fontId="28" fillId="0" borderId="0" pivotButton="0" quotePrefix="0" xfId="0"/>
    <xf numFmtId="0" fontId="29" fillId="15" borderId="8" applyAlignment="1" pivotButton="0" quotePrefix="0" xfId="0">
      <alignment horizontal="center"/>
    </xf>
    <xf numFmtId="0" fontId="29" fillId="0" borderId="0" applyAlignment="1" pivotButton="0" quotePrefix="0" xfId="0">
      <alignment horizontal="center"/>
    </xf>
    <xf numFmtId="0" fontId="30" fillId="0" borderId="0" applyAlignment="1" pivotButton="0" quotePrefix="0" xfId="0">
      <alignment vertical="top" wrapText="1"/>
    </xf>
    <xf numFmtId="0" fontId="31" fillId="0" borderId="0" applyAlignment="1" pivotButton="0" quotePrefix="0" xfId="0">
      <alignment vertical="top" wrapText="1"/>
    </xf>
    <xf numFmtId="4" fontId="0" fillId="0" borderId="8" applyAlignment="1" pivotButton="0" quotePrefix="0" xfId="0">
      <alignment horizontal="right" vertical="top"/>
    </xf>
    <xf numFmtId="165" fontId="0" fillId="16" borderId="8" applyAlignment="1" applyProtection="1" pivotButton="0" quotePrefix="0" xfId="0">
      <alignment horizontal="right" vertical="top"/>
      <protection locked="0" hidden="0"/>
    </xf>
    <xf numFmtId="0" fontId="33" fillId="0" borderId="8" applyAlignment="1" pivotButton="0" quotePrefix="0" xfId="0">
      <alignment vertical="top" wrapText="1"/>
    </xf>
    <xf numFmtId="0" fontId="29" fillId="0" borderId="8" pivotButton="0" quotePrefix="0" xfId="0"/>
    <xf numFmtId="0" fontId="25" fillId="14" borderId="0" applyAlignment="1" pivotButton="0" quotePrefix="0" xfId="0">
      <alignment horizontal="right" vertical="center"/>
    </xf>
    <xf numFmtId="0" fontId="37" fillId="0" borderId="8" applyAlignment="1" pivotButton="0" quotePrefix="0" xfId="0">
      <alignment vertical="top" wrapText="1"/>
    </xf>
    <xf numFmtId="4" fontId="37" fillId="0" borderId="8" applyAlignment="1" pivotButton="0" quotePrefix="0" xfId="0">
      <alignment horizontal="right" vertical="top"/>
    </xf>
    <xf numFmtId="0" fontId="37" fillId="17" borderId="8" pivotButton="0" quotePrefix="0" xfId="0"/>
    <xf numFmtId="0" fontId="38" fillId="17" borderId="8" applyAlignment="1" pivotButton="0" quotePrefix="0" xfId="0">
      <alignment horizontal="center" vertical="top"/>
    </xf>
    <xf numFmtId="0" fontId="28" fillId="0" borderId="8" applyAlignment="1" pivotButton="0" quotePrefix="0" xfId="0">
      <alignment vertical="top" wrapText="1"/>
    </xf>
    <xf numFmtId="0" fontId="39" fillId="0" borderId="8" applyAlignment="1" pivotButton="0" quotePrefix="0" xfId="0">
      <alignment vertical="top" wrapText="1"/>
    </xf>
    <xf numFmtId="4" fontId="39" fillId="0" borderId="8" applyAlignment="1" pivotButton="0" quotePrefix="0" xfId="0">
      <alignment horizontal="right" vertical="top"/>
    </xf>
    <xf numFmtId="0" fontId="39" fillId="17" borderId="8" pivotButton="0" quotePrefix="0" xfId="0"/>
    <xf numFmtId="0" fontId="40" fillId="0" borderId="8" applyAlignment="1" pivotButton="0" quotePrefix="0" xfId="0">
      <alignment vertical="top" wrapText="1"/>
    </xf>
    <xf numFmtId="4" fontId="0" fillId="0" borderId="8" applyAlignment="1" pivotButton="0" quotePrefix="0" xfId="0">
      <alignment vertical="top" wrapText="1"/>
    </xf>
    <xf numFmtId="0" fontId="41" fillId="0" borderId="0" pivotButton="0" quotePrefix="0" xfId="0"/>
    <xf numFmtId="0" fontId="32" fillId="0" borderId="0" pivotButton="0" quotePrefix="0" xfId="0"/>
    <xf numFmtId="4" fontId="3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image" Target="/xl/media/image8.png" Id="rId1"/></Relationships>
</file>

<file path=xl/drawings/_rels/drawing8.xml.rels><Relationships xmlns="http://schemas.openxmlformats.org/package/2006/relationships"><Relationship Type="http://schemas.openxmlformats.org/officeDocument/2006/relationships/image" Target="/xl/media/image9.png" Id="rId1"/></Relationships>
</file>

<file path=xl/drawings/_rels/drawing9.xml.rels><Relationships xmlns="http://schemas.openxmlformats.org/package/2006/relationships"><Relationship Type="http://schemas.openxmlformats.org/officeDocument/2006/relationships/image" Target="/xl/media/image10.png" Id="rId1"/></Relationships>
</file>

<file path=xl/drawings/_rels/drawing10.xml.rels><Relationships xmlns="http://schemas.openxmlformats.org/package/2006/relationships"><Relationship Type="http://schemas.openxmlformats.org/officeDocument/2006/relationships/image" Target="/xl/media/image11.png" Id="rId1"/></Relationships>
</file>

<file path=xl/drawings/_rels/drawing11.xml.rels><Relationships xmlns="http://schemas.openxmlformats.org/package/2006/relationships"><Relationship Type="http://schemas.openxmlformats.org/officeDocument/2006/relationships/image" Target="/xl/media/image12.png" Id="rId1"/></Relationships>
</file>

<file path=xl/drawings/_rels/drawing12.xml.rels><Relationships xmlns="http://schemas.openxmlformats.org/package/2006/relationships"><Relationship Type="http://schemas.openxmlformats.org/officeDocument/2006/relationships/image" Target="/xl/media/image13.png" Id="rId1"/></Relationships>
</file>

<file path=xl/drawings/_rels/drawing13.xml.rels><Relationships xmlns="http://schemas.openxmlformats.org/package/2006/relationships"><Relationship Type="http://schemas.openxmlformats.org/officeDocument/2006/relationships/image" Target="/xl/media/image14.png" Id="rId1"/></Relationships>
</file>

<file path=xl/drawings/_rels/drawing14.xml.rels><Relationships xmlns="http://schemas.openxmlformats.org/package/2006/relationships"><Relationship Type="http://schemas.openxmlformats.org/officeDocument/2006/relationships/image" Target="/xl/media/image15.png" Id="rId1"/></Relationships>
</file>

<file path=xl/drawings/_rels/drawing15.xml.rels><Relationships xmlns="http://schemas.openxmlformats.org/package/2006/relationships"><Relationship Type="http://schemas.openxmlformats.org/officeDocument/2006/relationships/image" Target="/xl/media/image16.png" Id="rId1"/></Relationships>
</file>

<file path=xl/drawings/_rels/drawing16.xml.rels><Relationships xmlns="http://schemas.openxmlformats.org/package/2006/relationships"><Relationship Type="http://schemas.openxmlformats.org/officeDocument/2006/relationships/image" Target="/xl/media/image17.png" Id="rId1"/></Relationships>
</file>

<file path=xl/drawings/_rels/drawing17.xml.rels><Relationships xmlns="http://schemas.openxmlformats.org/package/2006/relationships"><Relationship Type="http://schemas.openxmlformats.org/officeDocument/2006/relationships/image" Target="/xl/media/image18.png" Id="rId1"/></Relationships>
</file>

<file path=xl/drawings/drawing1.xml><?xml version="1.0" encoding="utf-8"?>
<wsDr xmlns="http://schemas.openxmlformats.org/drawingml/2006/spreadsheetDrawing">
  <oneCellAnchor>
    <from>
      <col>1</col>
      <colOff>0</colOff>
      <row>1</row>
      <rowOff>0</rowOff>
    </from>
    <ext cx="2095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1</row>
      <rowOff>0</rowOff>
    </from>
    <ext cx="123825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0</row>
      <rowOff>0</rowOff>
    </from>
    <ext cx="6572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Contents'!A1" TargetMode="External" Id="rId2"/><Relationship Type="http://schemas.openxmlformats.org/officeDocument/2006/relationships/hyperlink" Target="#'Programme'!A1" TargetMode="External" Id="rId3"/><Relationship Type="http://schemas.openxmlformats.org/officeDocument/2006/relationships/hyperlink" Target="#'Summary'!A1" TargetMode="External" Id="rId4"/><Relationship Type="http://schemas.openxmlformats.org/officeDocument/2006/relationships/hyperlink" Target="#'A_Preliminaries'!A1" TargetMode="External" Id="rId5"/><Relationship Type="http://schemas.openxmlformats.org/officeDocument/2006/relationships/hyperlink" Target="#'B_ICF_Supply'!A1" TargetMode="External" Id="rId6"/><Relationship Type="http://schemas.openxmlformats.org/officeDocument/2006/relationships/hyperlink" Target="#'C_Concrete'!A1" TargetMode="External" Id="rId7"/><Relationship Type="http://schemas.openxmlformats.org/officeDocument/2006/relationships/hyperlink" Target="#'D_Labour'!A1" TargetMode="External" Id="rId8"/><Relationship Type="http://schemas.openxmlformats.org/officeDocument/2006/relationships/hyperlink" Target="#'F_Reference'!A1" TargetMode="External" Id="rId9"/></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_rels/sheet13.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_rels/sheet15.xml.rels><Relationships xmlns="http://schemas.openxmlformats.org/package/2006/relationships"><Relationship Type="http://schemas.openxmlformats.org/officeDocument/2006/relationships/drawing" Target="/xl/drawings/drawing7.xml" Id="rId1"/></Relationships>
</file>

<file path=xl/worksheets/_rels/sheet16.xml.rels><Relationships xmlns="http://schemas.openxmlformats.org/package/2006/relationships"><Relationship Type="http://schemas.openxmlformats.org/officeDocument/2006/relationships/drawing" Target="/xl/drawings/drawing8.xml" Id="rId1"/></Relationships>
</file>

<file path=xl/worksheets/_rels/sheet17.xml.rels><Relationships xmlns="http://schemas.openxmlformats.org/package/2006/relationships"><Relationship Type="http://schemas.openxmlformats.org/officeDocument/2006/relationships/drawing" Target="/xl/drawings/drawing9.xml" Id="rId1"/></Relationships>
</file>

<file path=xl/worksheets/_rels/sheet18.xml.rels><Relationships xmlns="http://schemas.openxmlformats.org/package/2006/relationships"><Relationship Type="http://schemas.openxmlformats.org/officeDocument/2006/relationships/drawing" Target="/xl/drawings/drawing10.xml" Id="rId1"/></Relationships>
</file>

<file path=xl/worksheets/_rels/sheet19.xml.rels><Relationships xmlns="http://schemas.openxmlformats.org/package/2006/relationships"><Relationship Type="http://schemas.openxmlformats.org/officeDocument/2006/relationships/drawing" Target="/xl/drawings/drawing11.xml" Id="rId1"/></Relationships>
</file>

<file path=xl/worksheets/_rels/sheet20.xml.rels><Relationships xmlns="http://schemas.openxmlformats.org/package/2006/relationships"><Relationship Type="http://schemas.openxmlformats.org/officeDocument/2006/relationships/drawing" Target="/xl/drawings/drawing12.xml" Id="rId1"/></Relationships>
</file>

<file path=xl/worksheets/_rels/sheet21.xml.rels><Relationships xmlns="http://schemas.openxmlformats.org/package/2006/relationships"><Relationship Type="http://schemas.openxmlformats.org/officeDocument/2006/relationships/drawing" Target="/xl/drawings/drawing13.xml" Id="rId1"/></Relationships>
</file>

<file path=xl/worksheets/_rels/sheet22.xml.rels><Relationships xmlns="http://schemas.openxmlformats.org/package/2006/relationships"><Relationship Type="http://schemas.openxmlformats.org/officeDocument/2006/relationships/drawing" Target="/xl/drawings/drawing14.xml" Id="rId1"/></Relationships>
</file>

<file path=xl/worksheets/_rels/sheet23.xml.rels><Relationships xmlns="http://schemas.openxmlformats.org/package/2006/relationships"><Relationship Type="http://schemas.openxmlformats.org/officeDocument/2006/relationships/drawing" Target="/xl/drawings/drawing15.xml" Id="rId1"/></Relationships>
</file>

<file path=xl/worksheets/_rels/sheet24.xml.rels><Relationships xmlns="http://schemas.openxmlformats.org/package/2006/relationships"><Relationship Type="http://schemas.openxmlformats.org/officeDocument/2006/relationships/drawing" Target="/xl/drawings/drawing16.xml" Id="rId1"/></Relationships>
</file>

<file path=xl/worksheets/_rels/sheet25.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outlinePr summaryBelow="1" summaryRight="1"/>
    <pageSetUpPr fitToPage="1"/>
  </sheetPr>
  <dimension ref="A1:F39"/>
  <sheetViews>
    <sheetView showGridLines="0" workbookViewId="0">
      <selection activeCell="A1" sqref="A1"/>
    </sheetView>
  </sheetViews>
  <sheetFormatPr baseColWidth="8" defaultRowHeight="15"/>
  <cols>
    <col width="12" customWidth="1" min="1" max="1"/>
    <col width="30" customWidth="1" min="2" max="2"/>
    <col width="24" customWidth="1" min="3" max="3"/>
    <col width="24" customWidth="1" min="4" max="4"/>
    <col width="24" customWidth="1" min="5" max="5"/>
    <col width="12" customWidth="1" min="6" max="6"/>
  </cols>
  <sheetData>
    <row r="1"/>
    <row r="2" ht="18" customHeight="1"/>
    <row r="3" ht="18" customHeight="1"/>
    <row r="4" ht="18" customHeight="1"/>
    <row r="5" ht="18" customHeight="1"/>
    <row r="6" ht="18" customHeight="1"/>
    <row r="7" ht="18" customHeight="1"/>
    <row r="8"/>
    <row r="9"/>
    <row r="10" ht="40" customHeight="1">
      <c r="A10" s="1" t="inlineStr">
        <is>
          <t>BILL OF QUANTITIES</t>
        </is>
      </c>
    </row>
    <row r="11" ht="24" customHeight="1">
      <c r="A11" s="2" t="inlineStr">
        <is>
          <t>ICF KIT  ·  CONCRETE  ·  LABOUR</t>
        </is>
      </c>
    </row>
    <row r="12" ht="12" customHeight="1"/>
    <row r="13" ht="12" customHeight="1"/>
    <row r="14" ht="36" customHeight="1">
      <c r="A14" s="3" t="inlineStr">
        <is>
          <t>PLOT 1 RIVENDELL PARK, DOUGLAS</t>
        </is>
      </c>
    </row>
    <row r="15" ht="18.5" customHeight="1">
      <c r="A15" s="4" t="inlineStr">
        <is>
          <t>Single Dwelling with Basement + ICF Pool Tank  ·  Douglas, Lanark, South Lanarkshire ML11 8EB  ·  SCOTLAND</t>
        </is>
      </c>
    </row>
    <row r="16" ht="24" customHeight="1"/>
    <row r="17" ht="22" customHeight="1">
      <c r="B17" s="5" t="inlineStr">
        <is>
          <t>Quotation Reference</t>
        </is>
      </c>
      <c r="C17" s="6" t="inlineStr">
        <is>
          <t>ES26-084</t>
        </is>
      </c>
      <c r="D17" s="7" t="n"/>
      <c r="E17" s="7" t="n"/>
    </row>
    <row r="18" ht="22" customHeight="1">
      <c r="B18" s="5" t="inlineStr">
        <is>
          <t>Project</t>
        </is>
      </c>
      <c r="C18" s="6" t="inlineStr">
        <is>
          <t>Plot 1 Rivendell Park, Douglas</t>
        </is>
      </c>
      <c r="D18" s="7" t="n"/>
      <c r="E18" s="7" t="n"/>
    </row>
    <row r="19" ht="32" customHeight="1">
      <c r="B19" s="5" t="inlineStr">
        <is>
          <t>House Type</t>
        </is>
      </c>
      <c r="C19" s="6" t="inlineStr">
        <is>
          <t>Single dwelling: 10in Std basement + pool tank, 6in XR35 GF (cores aligned), RC slabs, vaulted cut roof</t>
        </is>
      </c>
      <c r="D19" s="7" t="n"/>
      <c r="E19" s="7" t="n"/>
    </row>
    <row r="20" ht="22" customHeight="1">
      <c r="B20" s="5" t="inlineStr">
        <is>
          <t>Client</t>
        </is>
      </c>
      <c r="C20" s="6" t="inlineStr">
        <is>
          <t>Mr K &amp; Mrs Burrell</t>
        </is>
      </c>
      <c r="D20" s="7" t="n"/>
      <c r="E20" s="7" t="n"/>
    </row>
    <row r="21" ht="32" customHeight="1">
      <c r="B21" s="5" t="inlineStr">
        <is>
          <t>Site Address</t>
        </is>
      </c>
      <c r="C21" s="6" t="inlineStr">
        <is>
          <t>New Dwelling at Plot 1 Rivendell Park, Douglas, Lanark, South Lanarkshire ML11 8EB</t>
        </is>
      </c>
      <c r="D21" s="7" t="n"/>
      <c r="E21" s="7" t="n"/>
    </row>
    <row r="22" ht="22" customHeight="1">
      <c r="B22" s="5" t="inlineStr">
        <is>
          <t>BOQ Issued</t>
        </is>
      </c>
      <c r="C22" s="6" t="inlineStr">
        <is>
          <t>20 October 2026</t>
        </is>
      </c>
      <c r="D22" s="7" t="n"/>
      <c r="E22" s="7" t="n"/>
    </row>
    <row r="23" ht="22" customHeight="1">
      <c r="B23" s="5" t="inlineStr">
        <is>
          <t>BOQ Reference</t>
        </is>
      </c>
      <c r="C23" s="6" t="inlineStr">
        <is>
          <t>BOQ-ES26-084-001  ·  Revision 1.0</t>
        </is>
      </c>
      <c r="D23" s="7" t="n"/>
      <c r="E23" s="7" t="n"/>
    </row>
    <row r="24" ht="22" customHeight="1">
      <c r="B24" s="5" t="inlineStr">
        <is>
          <t>Prepared by</t>
        </is>
      </c>
      <c r="C24" s="6" t="inlineStr">
        <is>
          <t>Tom Smith — BuildEase Manager, Nudura UK</t>
        </is>
      </c>
      <c r="D24" s="7" t="n"/>
      <c r="E24" s="7" t="n"/>
    </row>
    <row r="25" ht="22" customHeight="1">
      <c r="B25" s="5" t="inlineStr">
        <is>
          <t>Issued by</t>
        </is>
      </c>
      <c r="C25" s="6" t="inlineStr">
        <is>
          <t>Tremco Construction Products Group</t>
        </is>
      </c>
      <c r="D25" s="7" t="n"/>
      <c r="E25" s="7" t="n"/>
    </row>
    <row r="26" ht="22" customHeight="1">
      <c r="B26" s="5" t="inlineStr">
        <is>
          <t>Currency</t>
        </is>
      </c>
      <c r="C26" s="6" t="inlineStr">
        <is>
          <t>Pound Sterling (GBP)  ·  VAT at 20%</t>
        </is>
      </c>
      <c r="D26" s="7" t="n"/>
      <c r="E26" s="7" t="n"/>
    </row>
    <row r="27" ht="22" customHeight="1">
      <c r="B27" s="5" t="inlineStr">
        <is>
          <t>Measurement Convention</t>
        </is>
      </c>
      <c r="C27" s="6" t="inlineStr">
        <is>
          <t>RICS New Rules of Measurement (NRM2)</t>
        </is>
      </c>
      <c r="D27" s="7" t="n"/>
      <c r="E27" s="7" t="n"/>
    </row>
    <row r="28"/>
    <row r="29" ht="22" customHeight="1">
      <c r="B29" s="8" t="inlineStr">
        <is>
          <t xml:space="preserve">  IMPORTANT NOTICE — DISCLAIMER</t>
        </is>
      </c>
    </row>
    <row r="30" ht="32" customHeight="1">
      <c r="B30" s="9" t="inlineStr">
        <is>
          <t>•  This Bill of Quantities is supplied in good faith based on the BuildEase take-off models for Plot 1 Rivendell Park, Douglas and the associated Tremco CPG quotation.</t>
        </is>
      </c>
      <c r="C30" s="7" t="n"/>
      <c r="D30" s="7" t="n"/>
      <c r="E30" s="7" t="n"/>
    </row>
    <row r="31" ht="32" customHeight="1">
      <c r="B31" s="9" t="inlineStr">
        <is>
          <t>•  ALL QUANTITIES SHOULD BE INDEPENDENTLY CHECKED AND VERIFIED BY THE PROJECT QS / QUANTITY SURVEYOR before tender submission, ordering or contract award.</t>
        </is>
      </c>
      <c r="C31" s="7" t="n"/>
      <c r="D31" s="7" t="n"/>
      <c r="E31" s="7" t="n"/>
    </row>
    <row r="32" ht="32" customHeight="1">
      <c r="B32" s="9" t="inlineStr">
        <is>
          <t>•  This BOQ does NOT include an external render / finish allowance. Any render, coatings or external wall finish must be measured and priced separately.</t>
        </is>
      </c>
      <c r="C32" s="7" t="n"/>
      <c r="D32" s="7" t="n"/>
      <c r="E32" s="7" t="n"/>
    </row>
    <row r="33" ht="32" customHeight="1">
      <c r="B33" s="9" t="inlineStr">
        <is>
          <t>•  Section C (Concrete) volumes are geometric voids — allow ~3% web displacement deduction and ~5% wastage on top when ordering ready-mix.</t>
        </is>
      </c>
      <c r="C33" s="7" t="n"/>
      <c r="D33" s="7" t="n"/>
      <c r="E33" s="7" t="n"/>
    </row>
    <row r="34" ht="32" customHeight="1">
      <c r="B34" s="9" t="inlineStr">
        <is>
          <t>•  Section D (Labour) day estimates are scaled proportionately from a reference project; actual gang productivity will vary with site conditions, weather and trade experience.</t>
        </is>
      </c>
      <c r="C34" s="7" t="n"/>
      <c r="D34" s="7" t="n"/>
      <c r="E34" s="7" t="n"/>
    </row>
    <row r="35" ht="32" customHeight="1">
      <c r="B35" s="9" t="inlineStr">
        <is>
          <t>•  BuildEase, Tremco Construction Products Group and Nudura UK accept no liability for tender or contract outcomes arising from the use of these figures. If in doubt — ask.</t>
        </is>
      </c>
      <c r="C35" s="7" t="n"/>
      <c r="D35" s="7" t="n"/>
      <c r="E35" s="7" t="n"/>
    </row>
    <row r="36" ht="32" customHeight="1">
      <c r="B36" s="9" t="inlineStr">
        <is>
          <t>•  Contact: Tom Smith — BuildEase Manager, Nudura UK — for clarification on any quantity or rate basis in this document.</t>
        </is>
      </c>
      <c r="C36" s="7" t="n"/>
      <c r="D36" s="7" t="n"/>
      <c r="E36" s="7" t="n"/>
    </row>
    <row r="38" ht="58" customHeight="1">
      <c r="A38" s="10" t="inlineStr">
        <is>
          <t>SCOTLAND: the design must satisfy the Building Standards (Scotland) technical handbooks (building warrant from South Lanarkshire Council) - not the English Approved Documents / LABC. Building height ~6.3 m above the ground floor (ridge) - below 11 m.</t>
        </is>
      </c>
    </row>
    <row r="39" ht="58" customHeight="1">
      <c r="A39" s="10" t="inlineStr">
        <is>
          <t>NOT FOR CONSTRUCTION. The two "floor" slots of the programme and D.2 are RC slabs by others (basement raft, GF suspended slab); slab concrete, rebar and pumping are NOT in this ICF BOQ (coordination quantities in the finishes package Bill 6). Engineer to design: the GF slab over the pool and the garage, the 4.55 m garage door lintel, the vaulted roof ridge beams / posts and the glazed gables.</t>
        </is>
      </c>
    </row>
  </sheetData>
  <mergeCells count="25">
    <mergeCell ref="C22:E22"/>
    <mergeCell ref="B30:E30"/>
    <mergeCell ref="B33:E33"/>
    <mergeCell ref="C21:E21"/>
    <mergeCell ref="B36:E36"/>
    <mergeCell ref="B32:E32"/>
    <mergeCell ref="C27:E27"/>
    <mergeCell ref="B35:E35"/>
    <mergeCell ref="A14:F14"/>
    <mergeCell ref="C23:E23"/>
    <mergeCell ref="C17:E17"/>
    <mergeCell ref="A38:F38"/>
    <mergeCell ref="B31:E31"/>
    <mergeCell ref="A10:F10"/>
    <mergeCell ref="C19:E19"/>
    <mergeCell ref="C18:E18"/>
    <mergeCell ref="A39:F39"/>
    <mergeCell ref="A15:F15"/>
    <mergeCell ref="C24:E24"/>
    <mergeCell ref="A11:F11"/>
    <mergeCell ref="B29:E29"/>
    <mergeCell ref="C26:E26"/>
    <mergeCell ref="B34:E34"/>
    <mergeCell ref="C20:E20"/>
    <mergeCell ref="C25:E25"/>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13"/>
  <sheetViews>
    <sheetView showGridLines="0" workbookViewId="0">
      <selection activeCell="A1" sqref="A1"/>
    </sheetView>
  </sheetViews>
  <sheetFormatPr baseColWidth="8" defaultRowHeight="15"/>
  <cols>
    <col width="12" customWidth="1" min="1" max="1"/>
    <col width="50" customWidth="1" min="2" max="2"/>
    <col width="18" customWidth="1" min="3" max="3"/>
    <col width="18" customWidth="1" min="4" max="4"/>
    <col width="14" customWidth="1" min="5" max="5"/>
  </cols>
  <sheetData>
    <row r="1" ht="36" customHeight="1">
      <c r="A1" s="11" t="inlineStr">
        <is>
          <t xml:space="preserve">  CONTENTS</t>
        </is>
      </c>
    </row>
    <row r="2" ht="10" customHeight="1"/>
    <row r="3"/>
    <row r="4" ht="24" customHeight="1">
      <c r="A4" s="12" t="inlineStr">
        <is>
          <t>Section</t>
        </is>
      </c>
      <c r="B4" s="12" t="inlineStr">
        <is>
          <t>Description</t>
        </is>
      </c>
      <c r="C4" s="12" t="inlineStr">
        <is>
          <t>Sheet</t>
        </is>
      </c>
      <c r="D4" s="12" t="inlineStr">
        <is>
          <t>Status</t>
        </is>
      </c>
      <c r="E4" s="12" t="inlineStr"/>
    </row>
    <row r="5" ht="22" customHeight="1">
      <c r="A5" s="13" t="inlineStr"/>
      <c r="B5" s="14" t="inlineStr">
        <is>
          <t>Cover &amp; Project Information</t>
        </is>
      </c>
      <c r="C5" s="15" t="inlineStr">
        <is>
          <t>Cover</t>
        </is>
      </c>
      <c r="D5" s="16" t="inlineStr"/>
      <c r="E5" s="7" t="n"/>
    </row>
    <row r="6" ht="22" customHeight="1">
      <c r="A6" s="17" t="inlineStr"/>
      <c r="B6" s="18" t="inlineStr">
        <is>
          <t>Contents</t>
        </is>
      </c>
      <c r="C6" s="19" t="inlineStr">
        <is>
          <t>Contents</t>
        </is>
      </c>
      <c r="D6" s="20" t="inlineStr"/>
      <c r="E6" s="21" t="n"/>
    </row>
    <row r="7" ht="22" customHeight="1">
      <c r="A7" s="13" t="inlineStr"/>
      <c r="B7" s="14" t="inlineStr">
        <is>
          <t>Indicative Programme  (Gantt)</t>
        </is>
      </c>
      <c r="C7" s="15" t="inlineStr">
        <is>
          <t>Programme</t>
        </is>
      </c>
      <c r="D7" s="16" t="inlineStr">
        <is>
          <t>Information</t>
        </is>
      </c>
      <c r="E7" s="7" t="n"/>
    </row>
    <row r="8" ht="22" customHeight="1">
      <c r="A8" s="17" t="inlineStr"/>
      <c r="B8" s="18" t="inlineStr">
        <is>
          <t>Summary of Tender Pricing</t>
        </is>
      </c>
      <c r="C8" s="19" t="inlineStr">
        <is>
          <t>Summary</t>
        </is>
      </c>
      <c r="D8" s="20" t="inlineStr"/>
      <c r="E8" s="21" t="n"/>
    </row>
    <row r="9" ht="22" customHeight="1">
      <c r="A9" s="13" t="inlineStr">
        <is>
          <t>A</t>
        </is>
      </c>
      <c r="B9" s="14" t="inlineStr">
        <is>
          <t>Preliminaries</t>
        </is>
      </c>
      <c r="C9" s="15" t="inlineStr">
        <is>
          <t>A_Preliminaries</t>
        </is>
      </c>
      <c r="D9" s="16" t="inlineStr">
        <is>
          <t>Contractor priced</t>
        </is>
      </c>
      <c r="E9" s="7" t="n"/>
    </row>
    <row r="10" ht="22" customHeight="1">
      <c r="A10" s="17" t="inlineStr">
        <is>
          <t>B</t>
        </is>
      </c>
      <c r="B10" s="18" t="inlineStr">
        <is>
          <t>ICF Kit Supply</t>
        </is>
      </c>
      <c r="C10" s="19" t="inlineStr">
        <is>
          <t>B_ICF_Supply</t>
        </is>
      </c>
      <c r="D10" s="20" t="inlineStr">
        <is>
          <t>Pre-priced</t>
        </is>
      </c>
      <c r="E10" s="21" t="n"/>
    </row>
    <row r="11" ht="22" customHeight="1">
      <c r="A11" s="13" t="inlineStr">
        <is>
          <t>C</t>
        </is>
      </c>
      <c r="B11" s="14" t="inlineStr">
        <is>
          <t>Concrete Supply, Pump &amp; Placement</t>
        </is>
      </c>
      <c r="C11" s="15" t="inlineStr">
        <is>
          <t>C_Concrete</t>
        </is>
      </c>
      <c r="D11" s="16" t="inlineStr">
        <is>
          <t>Contractor priced</t>
        </is>
      </c>
      <c r="E11" s="7" t="n"/>
    </row>
    <row r="12" ht="22" customHeight="1">
      <c r="A12" s="17" t="inlineStr">
        <is>
          <t>D</t>
        </is>
      </c>
      <c r="B12" s="18" t="inlineStr">
        <is>
          <t>Labour — ICF, Floors &amp; Roofs</t>
        </is>
      </c>
      <c r="C12" s="19" t="inlineStr">
        <is>
          <t>D_Labour</t>
        </is>
      </c>
      <c r="D12" s="20" t="inlineStr">
        <is>
          <t>Contractor priced</t>
        </is>
      </c>
      <c r="E12" s="21" t="n"/>
    </row>
    <row r="13" ht="22" customHeight="1">
      <c r="A13" s="13" t="inlineStr">
        <is>
          <t>F</t>
        </is>
      </c>
      <c r="B13" s="14" t="inlineStr">
        <is>
          <t>Reference Data (informative only)</t>
        </is>
      </c>
      <c r="C13" s="15" t="inlineStr">
        <is>
          <t>F_Reference</t>
        </is>
      </c>
      <c r="D13" s="16" t="inlineStr">
        <is>
          <t>—</t>
        </is>
      </c>
      <c r="E13" s="7" t="n"/>
    </row>
  </sheetData>
  <mergeCells count="1">
    <mergeCell ref="A1:E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O27"/>
  <sheetViews>
    <sheetView showGridLines="0" workbookViewId="0">
      <selection activeCell="A1" sqref="A1"/>
    </sheetView>
  </sheetViews>
  <sheetFormatPr baseColWidth="8" defaultRowHeight="15"/>
  <cols>
    <col width="12" customWidth="1" min="1" max="1"/>
    <col width="8" customWidth="1" min="2" max="2"/>
    <col width="10" customWidth="1" min="3" max="3"/>
    <col width="10" customWidth="1" min="4" max="4"/>
    <col width="12"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3" customWidth="1" min="41" max="41"/>
  </cols>
  <sheetData>
    <row r="1" ht="28" customHeight="1">
      <c r="A1" s="22" t="inlineStr">
        <is>
          <t xml:space="preserve">  PROG  ·  INDICATIVE INSTALL PROGRAMME — RESOURCE-LEVELLED, ONE COLUMN PER WORKING DAY</t>
        </is>
      </c>
    </row>
    <row r="2" ht="48" customHeight="1">
      <c r="A2" s="23" t="inlineStr">
        <is>
          <t>Group-by-group sequential build with a staggered start between groups. ICF install + snag + pour cycles, intermediate floors and roof structure are completed before moving on. Resourcing and durations below are indicative and must be validated by site management. Render / external finish is NOT included in this programme.</t>
        </is>
      </c>
    </row>
    <row r="3" ht="18.5" customHeight="1">
      <c r="F3" s="24" t="inlineStr">
        <is>
          <t>W1</t>
        </is>
      </c>
      <c r="M3" s="24" t="inlineStr">
        <is>
          <t>W2</t>
        </is>
      </c>
      <c r="T3" s="24" t="inlineStr">
        <is>
          <t>W3</t>
        </is>
      </c>
      <c r="AA3" s="24" t="inlineStr">
        <is>
          <t>W4</t>
        </is>
      </c>
      <c r="AH3" s="24" t="inlineStr">
        <is>
          <t>W5</t>
        </is>
      </c>
    </row>
    <row r="4" ht="22" customHeight="1">
      <c r="A4" s="12" t="inlineStr">
        <is>
          <t>Group</t>
        </is>
      </c>
      <c r="B4" s="12" t="inlineStr">
        <is>
          <t>Plots</t>
        </is>
      </c>
      <c r="C4" s="12" t="inlineStr">
        <is>
          <t>Forms</t>
        </is>
      </c>
      <c r="D4" s="12" t="inlineStr">
        <is>
          <t>Weeks</t>
        </is>
      </c>
      <c r="E4" s="12" t="inlineStr">
        <is>
          <t>Start wk</t>
        </is>
      </c>
      <c r="F4" s="25" t="inlineStr">
        <is>
          <t>M</t>
        </is>
      </c>
      <c r="G4" s="25" t="inlineStr">
        <is>
          <t>T</t>
        </is>
      </c>
      <c r="H4" s="25" t="inlineStr">
        <is>
          <t>W</t>
        </is>
      </c>
      <c r="I4" s="25" t="inlineStr">
        <is>
          <t>T</t>
        </is>
      </c>
      <c r="J4" s="25" t="inlineStr">
        <is>
          <t>F</t>
        </is>
      </c>
      <c r="K4" s="25" t="inlineStr">
        <is>
          <t>S</t>
        </is>
      </c>
      <c r="L4" s="25" t="inlineStr">
        <is>
          <t>S</t>
        </is>
      </c>
      <c r="M4" s="25" t="inlineStr">
        <is>
          <t>M</t>
        </is>
      </c>
      <c r="N4" s="25" t="inlineStr">
        <is>
          <t>T</t>
        </is>
      </c>
      <c r="O4" s="25" t="inlineStr">
        <is>
          <t>W</t>
        </is>
      </c>
      <c r="P4" s="25" t="inlineStr">
        <is>
          <t>T</t>
        </is>
      </c>
      <c r="Q4" s="25" t="inlineStr">
        <is>
          <t>F</t>
        </is>
      </c>
      <c r="R4" s="25" t="inlineStr">
        <is>
          <t>S</t>
        </is>
      </c>
      <c r="S4" s="25" t="inlineStr">
        <is>
          <t>S</t>
        </is>
      </c>
      <c r="T4" s="25" t="inlineStr">
        <is>
          <t>M</t>
        </is>
      </c>
      <c r="U4" s="25" t="inlineStr">
        <is>
          <t>T</t>
        </is>
      </c>
      <c r="V4" s="25" t="inlineStr">
        <is>
          <t>W</t>
        </is>
      </c>
      <c r="W4" s="25" t="inlineStr">
        <is>
          <t>T</t>
        </is>
      </c>
      <c r="X4" s="25" t="inlineStr">
        <is>
          <t>F</t>
        </is>
      </c>
      <c r="Y4" s="25" t="inlineStr">
        <is>
          <t>S</t>
        </is>
      </c>
      <c r="Z4" s="25" t="inlineStr">
        <is>
          <t>S</t>
        </is>
      </c>
      <c r="AA4" s="25" t="inlineStr">
        <is>
          <t>M</t>
        </is>
      </c>
      <c r="AB4" s="25" t="inlineStr">
        <is>
          <t>T</t>
        </is>
      </c>
      <c r="AC4" s="25" t="inlineStr">
        <is>
          <t>W</t>
        </is>
      </c>
      <c r="AD4" s="25" t="inlineStr">
        <is>
          <t>T</t>
        </is>
      </c>
      <c r="AE4" s="25" t="inlineStr">
        <is>
          <t>F</t>
        </is>
      </c>
      <c r="AF4" s="25" t="inlineStr">
        <is>
          <t>S</t>
        </is>
      </c>
      <c r="AG4" s="25" t="inlineStr">
        <is>
          <t>S</t>
        </is>
      </c>
      <c r="AH4" s="25" t="inlineStr">
        <is>
          <t>M</t>
        </is>
      </c>
      <c r="AI4" s="25" t="inlineStr">
        <is>
          <t>T</t>
        </is>
      </c>
      <c r="AJ4" s="25" t="inlineStr">
        <is>
          <t>W</t>
        </is>
      </c>
      <c r="AK4" s="25" t="inlineStr">
        <is>
          <t>T</t>
        </is>
      </c>
      <c r="AL4" s="25" t="inlineStr">
        <is>
          <t>F</t>
        </is>
      </c>
      <c r="AM4" s="25" t="inlineStr">
        <is>
          <t>S</t>
        </is>
      </c>
      <c r="AN4" s="25" t="inlineStr">
        <is>
          <t>S</t>
        </is>
      </c>
    </row>
    <row r="5" ht="24" customHeight="1">
      <c r="A5" s="26" t="inlineStr">
        <is>
          <t>Plot 1 dwelling</t>
        </is>
      </c>
      <c r="B5" s="27" t="n">
        <v>1</v>
      </c>
      <c r="C5" s="27" t="n">
        <v>449</v>
      </c>
      <c r="D5" s="27" t="n">
        <v>5</v>
      </c>
      <c r="E5" s="27" t="n">
        <v>1</v>
      </c>
      <c r="F5" s="7" t="n"/>
      <c r="G5" s="28" t="n"/>
      <c r="H5" s="29" t="n"/>
      <c r="I5" s="29" t="n"/>
      <c r="J5" s="30" t="n"/>
      <c r="K5" s="7" t="n"/>
      <c r="L5" s="7" t="n"/>
      <c r="M5" s="31" t="n"/>
      <c r="N5" s="31" t="n"/>
      <c r="O5" s="7" t="n"/>
      <c r="P5" s="7" t="n"/>
      <c r="Q5" s="28" t="n"/>
      <c r="R5" s="29" t="n"/>
      <c r="S5" s="29" t="n"/>
      <c r="T5" s="30" t="n"/>
      <c r="U5" s="7" t="n"/>
      <c r="V5" s="7" t="n"/>
      <c r="W5" s="7" t="n"/>
      <c r="X5" s="28" t="n"/>
      <c r="Y5" s="29" t="n"/>
      <c r="Z5" s="29" t="n"/>
      <c r="AA5" s="31" t="n"/>
      <c r="AB5" s="31" t="n"/>
      <c r="AC5" s="7" t="n"/>
      <c r="AD5" s="7" t="n"/>
      <c r="AE5" s="28" t="n"/>
      <c r="AF5" s="29" t="n"/>
      <c r="AG5" s="29" t="n"/>
      <c r="AH5" s="32" t="n"/>
      <c r="AI5" s="7" t="n"/>
      <c r="AJ5" s="7" t="n"/>
      <c r="AK5" s="7" t="n"/>
      <c r="AL5" s="7" t="n"/>
      <c r="AM5" s="7" t="n"/>
      <c r="AN5" s="7" t="n"/>
    </row>
    <row r="6"/>
    <row r="7">
      <c r="A7" s="33" t="inlineStr">
        <is>
          <t>LEGEND</t>
        </is>
      </c>
    </row>
    <row r="8" ht="32" customHeight="1">
      <c r="A8" s="7" t="n"/>
      <c r="B8" s="34" t="inlineStr"/>
      <c r="C8" s="14" t="inlineStr">
        <is>
          <t>ICF walls — first lift: pool tank P (erection, snag &amp; pour)</t>
        </is>
      </c>
      <c r="D8" s="7" t="n"/>
      <c r="E8" s="7" t="n"/>
      <c r="F8" s="7" t="n"/>
      <c r="G8" s="7" t="n"/>
      <c r="H8" s="7" t="n"/>
    </row>
    <row r="9" ht="45.5" customHeight="1">
      <c r="A9" s="7" t="n"/>
      <c r="B9" s="31" t="inlineStr"/>
      <c r="C9" s="14" t="inlineStr">
        <is>
          <t>ICF walls — basement BL (on the raft), master-suite footing FB and GF L1 (after the GF slab)</t>
        </is>
      </c>
      <c r="D9" s="7" t="n"/>
      <c r="E9" s="7" t="n"/>
      <c r="F9" s="7" t="n"/>
      <c r="G9" s="7" t="n"/>
      <c r="H9" s="7" t="n"/>
    </row>
    <row r="10" ht="45.5" customHeight="1">
      <c r="A10" s="7" t="n"/>
      <c r="B10" s="28" t="inlineStr"/>
      <c r="C10" s="14" t="inlineStr">
        <is>
          <t>Concrete pour — sized at 60 m3 per pump-day (1 day per lift here), ICF crew attends, pump on site</t>
        </is>
      </c>
      <c r="D10" s="7" t="n"/>
      <c r="E10" s="7" t="n"/>
      <c r="F10" s="7" t="n"/>
      <c r="G10" s="7" t="n"/>
      <c r="H10" s="7" t="n"/>
    </row>
    <row r="11" ht="59" customHeight="1">
      <c r="A11" s="7" t="n"/>
      <c r="B11" s="29" t="inlineStr"/>
      <c r="C11" s="14" t="inlineStr">
        <is>
          <t>Curing — pours held to Fridays where possible so the 2 curing days fall on the weekend; a mid-week pour cures 2 working days</t>
        </is>
      </c>
      <c r="D11" s="7" t="n"/>
      <c r="E11" s="7" t="n"/>
      <c r="F11" s="7" t="n"/>
      <c r="G11" s="7" t="n"/>
      <c r="H11" s="7" t="n"/>
    </row>
    <row r="12" ht="59" customHeight="1">
      <c r="A12" s="7" t="n"/>
      <c r="B12" s="30" t="inlineStr"/>
      <c r="C12" s="14" t="inlineStr">
        <is>
          <t>RC slab by others — basement raft after the pool tank; GF suspended slab after the basement (1 day each by Tom's rule)</t>
        </is>
      </c>
      <c r="D12" s="7" t="n"/>
      <c r="E12" s="7" t="n"/>
      <c r="F12" s="7" t="n"/>
      <c r="G12" s="7" t="n"/>
      <c r="H12" s="7" t="n"/>
    </row>
    <row r="13" ht="32" customHeight="1">
      <c r="A13" s="7" t="n"/>
      <c r="B13" s="32" t="inlineStr"/>
      <c r="C13" s="14" t="inlineStr">
        <is>
          <t>Vaulted roof structure (cut rafters on ridge beams), 1 day by Tom's rule</t>
        </is>
      </c>
      <c r="D13" s="7" t="n"/>
      <c r="E13" s="7" t="n"/>
      <c r="F13" s="7" t="n"/>
      <c r="G13" s="7" t="n"/>
      <c r="H13" s="7" t="n"/>
    </row>
    <row r="14"/>
    <row r="15" ht="20" customHeight="1">
      <c r="A15" s="35" t="inlineStr">
        <is>
          <t xml:space="preserve">  RESOURCING</t>
        </is>
      </c>
    </row>
    <row r="16" ht="59" customHeight="1">
      <c r="A16" s="36" t="inlineStr">
        <is>
          <t>•  1 ICF crews of 8 trained installers (each crew = 2 four-man gang-equivalents) erect the wall lifts, moving to the next ready block while a floor is fitted; 1 joinery crew of 3 fits every intermediate floor and roof (Tom's rule 19.10.26: floors 1 day per plot, roofs 1 day per plot - one plot; the two 'floors' here are RC slabs by others (basement raft, GF suspended slab), the roof is the vaulted cut roof). Programme is resource-levelled day by day (white = block waiting for a crew).</t>
        </is>
      </c>
    </row>
    <row r="17" ht="32" customHeight="1">
      <c r="A17" s="36" t="inlineStr">
        <is>
          <t>•  Total ICF site programme: 5 working weeks (ICF erection, floors and roofs). Section A Preliminaries are quantified against this 5-week programme.</t>
        </is>
      </c>
    </row>
    <row r="18" ht="45.5" customHeight="1">
      <c r="A18" s="36" t="inlineStr">
        <is>
          <t>•  EXTERNAL RENDER / FINISH IS EXCLUDED from this BOQ and this programme. Where a render system is later specified, allow a separate workstream — per BBA guidance, render cannot begin until the concrete core has cured for a minimum of 28 days after the final pour.</t>
        </is>
      </c>
    </row>
    <row r="19" ht="22" customHeight="1">
      <c r="A19" s="36" t="inlineStr">
        <is>
          <t>•  Concrete pump booked on the pour days for each group (see Section C).</t>
        </is>
      </c>
    </row>
    <row r="20" ht="22" customHeight="1">
      <c r="A20" s="36" t="inlineStr">
        <is>
          <t>•  Lead time for BuildEase Pre-Cut Service: 5–6 weeks from order placement; procurement runs in parallel with mobilisation.</t>
        </is>
      </c>
    </row>
    <row r="21" ht="22" customHeight="1">
      <c r="A21" s="36" t="inlineStr">
        <is>
          <t>•  Programme estimates are provided in good faith and must be verified by the project / site management team.</t>
        </is>
      </c>
    </row>
    <row r="22" ht="32" customHeight="1">
      <c r="A22" s="36" t="inlineStr">
        <is>
          <t>•  SCOTLAND: the design must satisfy the Building Standards (Scotland) technical handbooks (building warrant from South Lanarkshire Council) - not the English Approved Documents / LABC. Building height ~6.3 m above the ground floor (ridge) - below 11 m.</t>
        </is>
      </c>
    </row>
    <row r="23" ht="59" customHeight="1">
      <c r="A23" s="36" t="inlineStr">
        <is>
          <t>•  Tom's rule (19.10.26): floors 1 day PER PLOT, roofs 1 day PER PLOT - one plot here, so each RC slab slot and the vaulted roof are shown at 1 day. The floor rows of this programme are RC SLABS BY OTHERS (basement raft after the pool tank - groundworks / engineer; GF suspended slab after the basement - engineer / frame contractor), NOT timber joists; slab concrete, rebar, falsework and slab pumping are NOT in this ICF BOQ (coordination quantities in the finishes package Bill 6).</t>
        </is>
      </c>
    </row>
    <row r="24" ht="59" customHeight="1">
      <c r="A24" s="36" t="inlineStr">
        <is>
          <t>•  Build sequence (no client programme issued): pool tank P (3 courses, on the pool base slab) -&gt; pour -&gt; basement raft -&gt; basement BL (8 courses) -&gt; pour -&gt; GF suspended slab -&gt; master-suite footing FB (2 courses) -&gt; pour -&gt; GF L1 (14 courses incl. the raked gables) -&gt; pour -&gt; vaulted roof. The FB pour (~2.5 m3) could share the GF slab pump visit or the L1 pour to save a pump day - not assumed.</t>
        </is>
      </c>
    </row>
    <row r="25" ht="32" customHeight="1">
      <c r="A25" s="36" t="inlineStr">
        <is>
          <t>•  ICF pours sized at 60 m3 per pump per day from each lift's own concrete volume (all four ICF pours are 1 pump day each here).</t>
        </is>
      </c>
    </row>
    <row r="26" ht="140" customHeight="1">
      <c r="A26" s="36" t="inlineStr">
        <is>
          <t>•  PROGRAMME (BOQ Builder sheet 'Programme', 1 ICF crew of 8 + 1 joinery crew of 3, Tom's rule floors / roofs 1 day per plot, pours at 60 m3 / pump-day): 21 working days = 5 weeks. Sequence: ICF P d0-0.46; pour d1-2; cure d2-4; basement raft 300 RC d4-5; ICF BL d5-6.98; pour d9-10; GF suspended RC slab 250 d10-11; ICF FB d11-11.15; pour d14-15; ICF L1 d15-16.68; pour d19-20; vaulted roof structure d20-21. ICF concrete 98.32 m3 (geometric, ordered forms) in 4 pump days. ALIGNMENT: the proposal Rev B prices 3 stillages x 6 weeks hire (GBP 1,440.00); on this programme the alignment is needed from the first ICF lift (pool tank, day 0) to the last pour (GF L1, day 20) = 4 weeks on hire - 2 weeks LESS than priced (GBP 480.00 of hire not needed on this programme). SENSITIVITY: Tom's 1-day floor rule is written for timber floors; the two slabs here are RC (basement raft, GF suspended slab over the pool and the garage) - with 10 working days per slab for falsework / rebar / pour / cure before loading (engineer to confirm) the programme is 8 weeks and the alignment is on hire 8 weeks (+2 vs the 6 priced) unless it is off-hired between lifts. The proposal has NOT been changed - confirm the hire period with the client / site team.</t>
        </is>
      </c>
    </row>
    <row r="27" ht="32" customHeight="1">
      <c r="A27" s="36" t="inlineStr">
        <is>
          <t>•  Basement + pool tank concrete: mix / waterproofing admixture and waterstops to the BS 8102 waterproofing designer and the engineer.</t>
        </is>
      </c>
    </row>
  </sheetData>
  <mergeCells count="26">
    <mergeCell ref="A20:AO20"/>
    <mergeCell ref="C10:H10"/>
    <mergeCell ref="M3:S3"/>
    <mergeCell ref="A19:AO19"/>
    <mergeCell ref="C9:H9"/>
    <mergeCell ref="AA3:AG3"/>
    <mergeCell ref="C12:H12"/>
    <mergeCell ref="A15:AO15"/>
    <mergeCell ref="C11:H11"/>
    <mergeCell ref="A24:AO24"/>
    <mergeCell ref="T3:Z3"/>
    <mergeCell ref="A1:AO1"/>
    <mergeCell ref="C8:H8"/>
    <mergeCell ref="AH3:AN3"/>
    <mergeCell ref="A25:AO25"/>
    <mergeCell ref="A16:AO16"/>
    <mergeCell ref="C13:H13"/>
    <mergeCell ref="F3:L3"/>
    <mergeCell ref="A18:AO18"/>
    <mergeCell ref="A27:AO27"/>
    <mergeCell ref="A21:AO21"/>
    <mergeCell ref="A26:AO26"/>
    <mergeCell ref="A2:AO2"/>
    <mergeCell ref="A23:AO23"/>
    <mergeCell ref="A22:AO22"/>
    <mergeCell ref="A17:AO17"/>
  </mergeCells>
  <printOptions horizontalCentered="1"/>
  <pageMargins left="0.5" right="0.5" top="0.6" bottom="0.6" header="0.3" footer="0.3"/>
  <pageSetup orientation="landscape"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1"/>
  <sheetViews>
    <sheetView showGridLines="0" workbookViewId="0">
      <selection activeCell="A1" sqref="A1"/>
    </sheetView>
  </sheetViews>
  <sheetFormatPr baseColWidth="8" defaultRowHeight="15"/>
  <cols>
    <col width="10" customWidth="1" min="1" max="1"/>
    <col width="60" customWidth="1" min="2" max="2"/>
    <col width="18" customWidth="1" min="3" max="3"/>
    <col width="20" customWidth="1" min="4" max="4"/>
    <col width="20" customWidth="1" min="5" max="5"/>
    <col width="12" customWidth="1" min="6" max="6"/>
  </cols>
  <sheetData>
    <row r="1" ht="36" customHeight="1">
      <c r="A1" s="11" t="inlineStr">
        <is>
          <t xml:space="preserve">  SUMMARY OF TENDER PRICING</t>
        </is>
      </c>
    </row>
    <row r="2" ht="8" customHeight="1"/>
    <row r="3" ht="36" customHeight="1">
      <c r="A3" s="23" t="inlineStr">
        <is>
          <t>Section totals are carried forward from each Bill section. Pre-priced columns show values from the associated Tremco CPG quotation; contractor-priced columns populate automatically when rates are entered in the section sheets. This BOQ excludes external render.</t>
        </is>
      </c>
    </row>
    <row r="4"/>
    <row r="5" ht="24" customHeight="1">
      <c r="A5" s="12" t="inlineStr">
        <is>
          <t>Section</t>
        </is>
      </c>
      <c r="B5" s="12" t="inlineStr">
        <is>
          <t>Description</t>
        </is>
      </c>
      <c r="C5" s="12" t="inlineStr">
        <is>
          <t>Pre-priced (£)</t>
        </is>
      </c>
      <c r="D5" s="12" t="inlineStr">
        <is>
          <t>Contractor-priced (£)</t>
        </is>
      </c>
      <c r="E5" s="12" t="inlineStr">
        <is>
          <t>Section Total (£)</t>
        </is>
      </c>
      <c r="F5" s="12" t="inlineStr"/>
    </row>
    <row r="6" ht="26" customHeight="1">
      <c r="A6" s="37" t="inlineStr">
        <is>
          <t>A</t>
        </is>
      </c>
      <c r="B6" s="14" t="inlineStr">
        <is>
          <t>Preliminaries</t>
        </is>
      </c>
      <c r="C6" s="38" t="inlineStr"/>
      <c r="D6" s="38">
        <f>'A_Preliminaries'!F1000</f>
        <v/>
      </c>
      <c r="E6" s="39">
        <f>IF(ISNUMBER(C6),C6,0)+IF(ISNUMBER(D6),D6,0)</f>
        <v/>
      </c>
      <c r="F6" s="7" t="n"/>
    </row>
    <row r="7" ht="26" customHeight="1">
      <c r="A7" s="37" t="inlineStr">
        <is>
          <t>B</t>
        </is>
      </c>
      <c r="B7" s="14" t="inlineStr">
        <is>
          <t>ICF Kit Supply</t>
        </is>
      </c>
      <c r="C7" s="38" t="n">
        <v>29139.75</v>
      </c>
      <c r="D7" s="38" t="inlineStr"/>
      <c r="E7" s="39">
        <f>IF(ISNUMBER(C7),C7,0)+IF(ISNUMBER(D7),D7,0)</f>
        <v/>
      </c>
      <c r="F7" s="7" t="n"/>
    </row>
    <row r="8" ht="26" customHeight="1">
      <c r="A8" s="37" t="inlineStr">
        <is>
          <t>C</t>
        </is>
      </c>
      <c r="B8" s="14" t="inlineStr">
        <is>
          <t>Concrete Supply, Pump &amp; Placement</t>
        </is>
      </c>
      <c r="C8" s="38" t="inlineStr"/>
      <c r="D8" s="38">
        <f>'C_Concrete'!F1000</f>
        <v/>
      </c>
      <c r="E8" s="39">
        <f>IF(ISNUMBER(C8),C8,0)+IF(ISNUMBER(D8),D8,0)</f>
        <v/>
      </c>
      <c r="F8" s="7" t="n"/>
    </row>
    <row r="9" ht="26" customHeight="1">
      <c r="A9" s="37" t="inlineStr">
        <is>
          <t>D</t>
        </is>
      </c>
      <c r="B9" s="14" t="inlineStr">
        <is>
          <t>Labour — ICF, Floors &amp; Roofs</t>
        </is>
      </c>
      <c r="C9" s="38" t="inlineStr"/>
      <c r="D9" s="38">
        <f>'D_Labour'!F1000</f>
        <v/>
      </c>
      <c r="E9" s="39">
        <f>IF(ISNUMBER(C9),C9,0)+IF(ISNUMBER(D9),D9,0)</f>
        <v/>
      </c>
      <c r="F9" s="7" t="n"/>
    </row>
    <row r="10"/>
    <row r="11" ht="28" customHeight="1">
      <c r="A11" s="40" t="n"/>
      <c r="B11" s="41" t="inlineStr">
        <is>
          <t>NET TOTAL  (excluding VAT)</t>
        </is>
      </c>
      <c r="C11" s="42">
        <f>SUM(C6:C9)</f>
        <v/>
      </c>
      <c r="D11" s="42">
        <f>SUM(D6:D9)</f>
        <v/>
      </c>
      <c r="E11" s="42">
        <f>SUM(E6:E9)</f>
        <v/>
      </c>
      <c r="F11" s="40" t="n"/>
    </row>
    <row r="12" ht="24" customHeight="1">
      <c r="A12" s="7" t="n"/>
      <c r="B12" s="14" t="inlineStr">
        <is>
          <t>VAT  @ 20%</t>
        </is>
      </c>
      <c r="C12" s="7" t="n"/>
      <c r="D12" s="7" t="n"/>
      <c r="E12" s="38">
        <f>E11*0.20</f>
        <v/>
      </c>
      <c r="F12" s="7" t="n"/>
    </row>
    <row r="13" ht="32" customHeight="1">
      <c r="A13" s="43" t="n"/>
      <c r="B13" s="44" t="inlineStr">
        <is>
          <t>GRAND TOTAL  (inclusive of VAT)</t>
        </is>
      </c>
      <c r="C13" s="43" t="n"/>
      <c r="D13" s="43" t="n"/>
      <c r="E13" s="45">
        <f>E11+E12</f>
        <v/>
      </c>
      <c r="F13" s="43" t="n"/>
    </row>
    <row r="14"/>
    <row r="15"/>
    <row r="16"/>
    <row r="17" ht="18.5" customHeight="1">
      <c r="A17" s="46" t="inlineStr">
        <is>
          <t>SIGNATURES</t>
        </is>
      </c>
    </row>
    <row r="18"/>
    <row r="19" ht="32" customHeight="1">
      <c r="A19" s="26" t="inlineStr">
        <is>
          <t>Priced by</t>
        </is>
      </c>
      <c r="B19" s="7" t="n"/>
      <c r="C19" s="7" t="n"/>
      <c r="D19" s="7" t="n"/>
      <c r="E19" s="7" t="n"/>
      <c r="F19" s="7" t="n"/>
    </row>
    <row r="20" ht="32" customHeight="1">
      <c r="A20" s="26" t="inlineStr">
        <is>
          <t>Tendered by</t>
        </is>
      </c>
      <c r="B20" s="7" t="n"/>
      <c r="C20" s="7" t="n"/>
      <c r="D20" s="7" t="n"/>
      <c r="E20" s="7" t="n"/>
      <c r="F20" s="7" t="n"/>
    </row>
    <row r="21" ht="32" customHeight="1">
      <c r="A21" s="26" t="inlineStr">
        <is>
          <t>Approved by</t>
        </is>
      </c>
      <c r="B21" s="7" t="n"/>
      <c r="C21" s="7" t="n"/>
      <c r="D21" s="7" t="n"/>
      <c r="E21" s="7" t="n"/>
      <c r="F21" s="7" t="n"/>
    </row>
  </sheetData>
  <mergeCells count="3">
    <mergeCell ref="A3:F3"/>
    <mergeCell ref="A1:F1"/>
    <mergeCell ref="A17:F17"/>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2" t="inlineStr">
        <is>
          <t xml:space="preserve">  A  ·  PRELIMINARIES</t>
        </is>
      </c>
    </row>
    <row r="2" ht="32" customHeight="1">
      <c r="A2" s="23" t="inlineStr">
        <is>
          <t>Items priced per working week against the site programme total of 5 weeks (see Programme sheet). Quantities are pre-populated; the contractor inserts the weekly rate.</t>
        </is>
      </c>
    </row>
    <row r="3"/>
    <row r="4" ht="24" customHeight="1">
      <c r="A4" s="12" t="inlineStr">
        <is>
          <t>Ref</t>
        </is>
      </c>
      <c r="B4" s="12" t="inlineStr">
        <is>
          <t>Description</t>
        </is>
      </c>
      <c r="C4" s="12" t="inlineStr">
        <is>
          <t>Unit</t>
        </is>
      </c>
      <c r="D4" s="12" t="inlineStr">
        <is>
          <t>Qty</t>
        </is>
      </c>
      <c r="E4" s="12" t="inlineStr">
        <is>
          <t>Rate (£)</t>
        </is>
      </c>
      <c r="F4" s="12" t="inlineStr">
        <is>
          <t>Total (£)</t>
        </is>
      </c>
    </row>
    <row r="5">
      <c r="A5" s="47" t="inlineStr">
        <is>
          <t>A.1</t>
        </is>
      </c>
      <c r="B5" s="48" t="inlineStr">
        <is>
          <t>Site set-up, fencing, signage, induction &amp; welfare establishment</t>
        </is>
      </c>
      <c r="C5" s="47" t="inlineStr">
        <is>
          <t>item</t>
        </is>
      </c>
      <c r="D5" s="49" t="n">
        <v>1</v>
      </c>
      <c r="E5" s="50" t="n"/>
      <c r="F5" s="38">
        <f>IF(AND(ISNUMBER(D5),ISNUMBER(E5)),D5*E5,0)</f>
        <v/>
      </c>
    </row>
    <row r="6">
      <c r="A6" s="51" t="inlineStr">
        <is>
          <t>A.2</t>
        </is>
      </c>
      <c r="B6" s="52" t="inlineStr">
        <is>
          <t>Welfare facilities — canteen, drying, toilets (hire)</t>
        </is>
      </c>
      <c r="C6" s="51" t="inlineStr">
        <is>
          <t>wk</t>
        </is>
      </c>
      <c r="D6" s="53" t="n">
        <v>5</v>
      </c>
      <c r="E6" s="50" t="n"/>
      <c r="F6" s="54">
        <f>IF(AND(ISNUMBER(D6),ISNUMBER(E6)),D6*E6,0)</f>
        <v/>
      </c>
    </row>
    <row r="7">
      <c r="A7" s="47" t="inlineStr">
        <is>
          <t>A.3</t>
        </is>
      </c>
      <c r="B7" s="48" t="inlineStr">
        <is>
          <t>Contract management &amp; site supervision</t>
        </is>
      </c>
      <c r="C7" s="47" t="inlineStr">
        <is>
          <t>wk</t>
        </is>
      </c>
      <c r="D7" s="49" t="n">
        <v>5</v>
      </c>
      <c r="E7" s="50" t="n"/>
      <c r="F7" s="38">
        <f>IF(AND(ISNUMBER(D7),ISNUMBER(E7)),D7*E7,0)</f>
        <v/>
      </c>
    </row>
    <row r="8">
      <c r="A8" s="51" t="inlineStr">
        <is>
          <t>A.4</t>
        </is>
      </c>
      <c r="B8" s="52" t="inlineStr">
        <is>
          <t>Health &amp; Safety, RAMS, CDM consultancy</t>
        </is>
      </c>
      <c r="C8" s="51" t="inlineStr">
        <is>
          <t>wk</t>
        </is>
      </c>
      <c r="D8" s="53" t="n">
        <v>5</v>
      </c>
      <c r="E8" s="50" t="n"/>
      <c r="F8" s="54">
        <f>IF(AND(ISNUMBER(D8),ISNUMBER(E8)),D8*E8,0)</f>
        <v/>
      </c>
    </row>
    <row r="9">
      <c r="A9" s="47" t="inlineStr">
        <is>
          <t>A.5</t>
        </is>
      </c>
      <c r="B9" s="48" t="inlineStr">
        <is>
          <t>Public liability and contract works insurance</t>
        </is>
      </c>
      <c r="C9" s="47" t="inlineStr">
        <is>
          <t>item</t>
        </is>
      </c>
      <c r="D9" s="49" t="n">
        <v>1</v>
      </c>
      <c r="E9" s="50" t="n"/>
      <c r="F9" s="38">
        <f>IF(AND(ISNUMBER(D9),ISNUMBER(E9)),D9*E9,0)</f>
        <v/>
      </c>
    </row>
    <row r="10">
      <c r="A10" s="51" t="inlineStr">
        <is>
          <t>A.6</t>
        </is>
      </c>
      <c r="B10" s="52" t="inlineStr">
        <is>
          <t>Scaffolding — independent access for ICF erection</t>
        </is>
      </c>
      <c r="C10" s="51" t="inlineStr">
        <is>
          <t>wk</t>
        </is>
      </c>
      <c r="D10" s="53" t="n">
        <v>5</v>
      </c>
      <c r="E10" s="50" t="n"/>
      <c r="F10" s="54">
        <f>IF(AND(ISNUMBER(D10),ISNUMBER(E10)),D10*E10,0)</f>
        <v/>
      </c>
    </row>
    <row r="11">
      <c r="A11" s="47" t="inlineStr">
        <is>
          <t>A.7</t>
        </is>
      </c>
      <c r="B11" s="48" t="inlineStr">
        <is>
          <t>Plant hire — telehandler / forklift for offload &amp; ICF moves</t>
        </is>
      </c>
      <c r="C11" s="47" t="inlineStr">
        <is>
          <t>wk</t>
        </is>
      </c>
      <c r="D11" s="49" t="n">
        <v>5</v>
      </c>
      <c r="E11" s="50" t="n"/>
      <c r="F11" s="38">
        <f>IF(AND(ISNUMBER(D11),ISNUMBER(E11)),D11*E11,0)</f>
        <v/>
      </c>
    </row>
    <row r="12">
      <c r="A12" s="51" t="inlineStr">
        <is>
          <t>A.8</t>
        </is>
      </c>
      <c r="B12" s="52" t="inlineStr">
        <is>
          <t>Plant hire — small tools, generators, power &amp; lighting</t>
        </is>
      </c>
      <c r="C12" s="51" t="inlineStr">
        <is>
          <t>wk</t>
        </is>
      </c>
      <c r="D12" s="53" t="n">
        <v>5</v>
      </c>
      <c r="E12" s="50" t="n"/>
      <c r="F12" s="54">
        <f>IF(AND(ISNUMBER(D12),ISNUMBER(E12)),D12*E12,0)</f>
        <v/>
      </c>
    </row>
    <row r="13">
      <c r="A13" s="47" t="inlineStr">
        <is>
          <t>A.9</t>
        </is>
      </c>
      <c r="B13" s="48" t="inlineStr">
        <is>
          <t>Hoarding / site enclosure / security</t>
        </is>
      </c>
      <c r="C13" s="47" t="inlineStr">
        <is>
          <t>wk</t>
        </is>
      </c>
      <c r="D13" s="49" t="n">
        <v>5</v>
      </c>
      <c r="E13" s="50" t="n"/>
      <c r="F13" s="38">
        <f>IF(AND(ISNUMBER(D13),ISNUMBER(E13)),D13*E13,0)</f>
        <v/>
      </c>
    </row>
    <row r="14">
      <c r="A14" s="51" t="inlineStr">
        <is>
          <t>A.10</t>
        </is>
      </c>
      <c r="B14" s="52" t="inlineStr">
        <is>
          <t>Temporary services — water, power, lighting (hire)</t>
        </is>
      </c>
      <c r="C14" s="51" t="inlineStr">
        <is>
          <t>wk</t>
        </is>
      </c>
      <c r="D14" s="53" t="n">
        <v>5</v>
      </c>
      <c r="E14" s="50" t="n"/>
      <c r="F14" s="54">
        <f>IF(AND(ISNUMBER(D14),ISNUMBER(E14)),D14*E14,0)</f>
        <v/>
      </c>
    </row>
    <row r="15">
      <c r="A15" s="47" t="inlineStr">
        <is>
          <t>A.11</t>
        </is>
      </c>
      <c r="B15" s="48" t="inlineStr">
        <is>
          <t>Site clean, waste management &amp; skip rotation</t>
        </is>
      </c>
      <c r="C15" s="47" t="inlineStr">
        <is>
          <t>wk</t>
        </is>
      </c>
      <c r="D15" s="49" t="n">
        <v>5</v>
      </c>
      <c r="E15" s="50" t="n"/>
      <c r="F15" s="38">
        <f>IF(AND(ISNUMBER(D15),ISNUMBER(E15)),D15*E15,0)</f>
        <v/>
      </c>
    </row>
    <row r="16">
      <c r="A16" s="51" t="inlineStr">
        <is>
          <t>A.12</t>
        </is>
      </c>
      <c r="B16" s="52" t="inlineStr">
        <is>
          <t>Setting out and surveying — engineer's level checks</t>
        </is>
      </c>
      <c r="C16" s="51" t="inlineStr">
        <is>
          <t>wk</t>
        </is>
      </c>
      <c r="D16" s="53" t="n">
        <v>5</v>
      </c>
      <c r="E16" s="50" t="n"/>
      <c r="F16" s="54">
        <f>IF(AND(ISNUMBER(D16),ISNUMBER(E16)),D16*E16,0)</f>
        <v/>
      </c>
    </row>
    <row r="17">
      <c r="A17" s="47" t="inlineStr">
        <is>
          <t>A.13</t>
        </is>
      </c>
      <c r="B17" s="48" t="inlineStr">
        <is>
          <t>Site take-down, hand-over &amp; demobilisation</t>
        </is>
      </c>
      <c r="C17" s="47" t="inlineStr">
        <is>
          <t>item</t>
        </is>
      </c>
      <c r="D17" s="49" t="n">
        <v>1</v>
      </c>
      <c r="E17" s="50" t="n"/>
      <c r="F17" s="38">
        <f>IF(AND(ISNUMBER(D17),ISNUMBER(E17)),D17*E17,0)</f>
        <v/>
      </c>
    </row>
    <row r="18">
      <c r="A18" s="51" t="inlineStr">
        <is>
          <t>A.14</t>
        </is>
      </c>
      <c r="B18" s="52" t="inlineStr">
        <is>
          <t>Pre-completion sound test (Approved Document E)</t>
        </is>
      </c>
      <c r="C18" s="51" t="inlineStr">
        <is>
          <t>test</t>
        </is>
      </c>
      <c r="D18" s="55" t="n"/>
      <c r="E18" s="50" t="n"/>
      <c r="F18" s="54">
        <f>IF(AND(ISNUMBER(D18),ISNUMBER(E18)),D18*E18,0)</f>
        <v/>
      </c>
    </row>
    <row r="19">
      <c r="A19" s="47" t="inlineStr">
        <is>
          <t>A.15</t>
        </is>
      </c>
      <c r="B19" s="48" t="inlineStr">
        <is>
          <t>Air-tightness test (Approved Document L)</t>
        </is>
      </c>
      <c r="C19" s="47" t="inlineStr">
        <is>
          <t>test</t>
        </is>
      </c>
      <c r="D19" s="55" t="n"/>
      <c r="E19" s="50" t="n"/>
      <c r="F19" s="38">
        <f>IF(AND(ISNUMBER(D19),ISNUMBER(E19)),D19*E19,0)</f>
        <v/>
      </c>
    </row>
    <row r="20">
      <c r="A20" s="51" t="inlineStr">
        <is>
          <t>A.16</t>
        </is>
      </c>
      <c r="B20" s="52" t="inlineStr">
        <is>
          <t>Day works allowance</t>
        </is>
      </c>
      <c r="C20" s="51" t="inlineStr">
        <is>
          <t>sum</t>
        </is>
      </c>
      <c r="D20" s="55" t="n"/>
      <c r="E20" s="50" t="n"/>
      <c r="F20" s="54">
        <f>IF(AND(ISNUMBER(D20),ISNUMBER(E20)),D20*E20,0)</f>
        <v/>
      </c>
    </row>
    <row r="21"/>
    <row r="22" ht="24" customHeight="1">
      <c r="A22" s="56" t="n"/>
      <c r="B22" s="57" t="inlineStr">
        <is>
          <t>A  —  PRELIMINARIES SUBTOTAL</t>
        </is>
      </c>
      <c r="C22" s="56" t="n"/>
      <c r="D22" s="56" t="n"/>
      <c r="E22" s="56" t="n"/>
      <c r="F22" s="58">
        <f>SUM(F5:F20)</f>
        <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c r="F1000" s="59">
        <f>F22</f>
        <v/>
      </c>
    </row>
  </sheetData>
  <mergeCells count="2">
    <mergeCell ref="A2:F2"/>
    <mergeCell ref="A1:F1"/>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2" t="inlineStr">
        <is>
          <t xml:space="preserve">  B  ·  ICF KIT SUPPLY</t>
        </is>
      </c>
    </row>
    <row r="2" ht="32" customHeight="1">
      <c r="A2" s="23" t="inlineStr">
        <is>
          <t>ICF material supply values are pre-priced from the associated Tremco CPG quotation. Pre-cut service fees are taken from each BuildEase take-off.</t>
        </is>
      </c>
    </row>
    <row r="3"/>
    <row r="4" ht="24" customHeight="1">
      <c r="A4" s="12" t="inlineStr">
        <is>
          <t>Ref</t>
        </is>
      </c>
      <c r="B4" s="12" t="inlineStr">
        <is>
          <t>Description</t>
        </is>
      </c>
      <c r="C4" s="12" t="inlineStr">
        <is>
          <t>Unit</t>
        </is>
      </c>
      <c r="D4" s="12" t="inlineStr">
        <is>
          <t>Qty</t>
        </is>
      </c>
      <c r="E4" s="12" t="inlineStr">
        <is>
          <t>Rate (£)</t>
        </is>
      </c>
      <c r="F4" s="12" t="inlineStr">
        <is>
          <t>Total (£)</t>
        </is>
      </c>
    </row>
    <row r="5" ht="20" customHeight="1">
      <c r="A5" s="60" t="inlineStr">
        <is>
          <t xml:space="preserve">  B.1  —  ICF Block, Forms &amp; Accessories</t>
        </is>
      </c>
    </row>
    <row r="6">
      <c r="A6" s="51" t="inlineStr">
        <is>
          <t>B.1</t>
        </is>
      </c>
      <c r="B6" s="52" t="inlineStr">
        <is>
          <t>ICF Materials — Plot 1 dwelling  (1 plot(s), 449 forms)</t>
        </is>
      </c>
      <c r="C6" s="51" t="inlineStr">
        <is>
          <t>group</t>
        </is>
      </c>
      <c r="D6" s="53" t="n">
        <v>1</v>
      </c>
      <c r="E6" s="54" t="n">
        <v>24872.37</v>
      </c>
      <c r="F6" s="54">
        <f>IF(AND(ISNUMBER(D6),ISNUMBER(E6)),D6*E6,0)</f>
        <v/>
      </c>
    </row>
    <row r="7"/>
    <row r="8" ht="20" customHeight="1">
      <c r="A8" s="60" t="inlineStr">
        <is>
          <t xml:space="preserve">  B.2  —  BuildEase Pre-Cut Service Fee</t>
        </is>
      </c>
    </row>
    <row r="9">
      <c r="A9" s="47" t="inlineStr">
        <is>
          <t>B.2</t>
        </is>
      </c>
      <c r="B9" s="48" t="inlineStr">
        <is>
          <t>Pre-Cut Service — Plot 1 dwelling</t>
        </is>
      </c>
      <c r="C9" s="47" t="inlineStr">
        <is>
          <t>group</t>
        </is>
      </c>
      <c r="D9" s="49" t="n">
        <v>1</v>
      </c>
      <c r="E9" s="38" t="n">
        <v>1702.62</v>
      </c>
      <c r="F9" s="38">
        <f>IF(AND(ISNUMBER(D9),ISNUMBER(E9)),D9*E9,0)</f>
        <v/>
      </c>
    </row>
    <row r="10"/>
    <row r="11" ht="20" customHeight="1">
      <c r="A11" s="60" t="inlineStr">
        <is>
          <t xml:space="preserve">  B.3  —  Haulage</t>
        </is>
      </c>
    </row>
    <row r="12">
      <c r="A12" s="47" t="inlineStr">
        <is>
          <t>B.3</t>
        </is>
      </c>
      <c r="B12" s="48" t="inlineStr">
        <is>
          <t>Haulage to site — 2 loads: 2 x artic @ 170.8 mi (proposal Rev B delivery schedule: substructure, then GF)</t>
        </is>
      </c>
      <c r="C12" s="47" t="inlineStr">
        <is>
          <t>item</t>
        </is>
      </c>
      <c r="D12" s="49" t="n">
        <v>1</v>
      </c>
      <c r="E12" s="38" t="n">
        <v>1124.76</v>
      </c>
      <c r="F12" s="38">
        <f>IF(AND(ISNUMBER(D12),ISNUMBER(E12)),D12*E12,0)</f>
        <v/>
      </c>
    </row>
    <row r="13"/>
    <row r="14" ht="20" customHeight="1">
      <c r="A14" s="60" t="inlineStr">
        <is>
          <t xml:space="preserve">  B.4  —  Alignment System</t>
        </is>
      </c>
    </row>
    <row r="15">
      <c r="A15" s="47" t="inlineStr">
        <is>
          <t>B.4</t>
        </is>
      </c>
      <c r="B15" s="48" t="inlineStr">
        <is>
          <t>Alignment System Rental — Plot 1 dwelling (42 systems)</t>
        </is>
      </c>
      <c r="C15" s="47" t="inlineStr">
        <is>
          <t>group</t>
        </is>
      </c>
      <c r="D15" s="49" t="n">
        <v>1</v>
      </c>
      <c r="E15" s="38" t="n">
        <v>1440</v>
      </c>
      <c r="F15" s="38">
        <f>IF(AND(ISNUMBER(D15),ISNUMBER(E15)),D15*E15,0)</f>
        <v/>
      </c>
    </row>
    <row r="16"/>
    <row r="17" ht="24" customHeight="1">
      <c r="A17" s="56" t="n"/>
      <c r="B17" s="57" t="inlineStr">
        <is>
          <t>B  —  ICF KIT SUPPLY SUBTOTAL</t>
        </is>
      </c>
      <c r="C17" s="56" t="n"/>
      <c r="D17" s="56" t="n"/>
      <c r="E17" s="56" t="n"/>
      <c r="F17" s="58">
        <f>SUM(F5:F15)</f>
        <v/>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c r="F1000" s="59">
        <f>F17</f>
        <v/>
      </c>
    </row>
  </sheetData>
  <mergeCells count="6">
    <mergeCell ref="A2:F2"/>
    <mergeCell ref="A11:F11"/>
    <mergeCell ref="A14:F14"/>
    <mergeCell ref="A1:F1"/>
    <mergeCell ref="A5:F5"/>
    <mergeCell ref="A8:F8"/>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2" t="inlineStr">
        <is>
          <t xml:space="preserve">  C  ·  CONCRETE SUPPLY, PUMP &amp; PLACEMENT</t>
        </is>
      </c>
    </row>
    <row r="2" ht="32" customHeight="1">
      <c r="A2" s="23" t="inlineStr">
        <is>
          <t>Volumes are geometric void calculations (block length × course height × core thickness). Allow ~3% for plastic web displacement and ~5% wastage when ordering. Rates to be inserted by the contractor.</t>
        </is>
      </c>
    </row>
    <row r="3"/>
    <row r="4" ht="24" customHeight="1">
      <c r="A4" s="12" t="inlineStr">
        <is>
          <t>Ref</t>
        </is>
      </c>
      <c r="B4" s="12" t="inlineStr">
        <is>
          <t>Description</t>
        </is>
      </c>
      <c r="C4" s="12" t="inlineStr">
        <is>
          <t>Unit</t>
        </is>
      </c>
      <c r="D4" s="12" t="inlineStr">
        <is>
          <t>Qty</t>
        </is>
      </c>
      <c r="E4" s="12" t="inlineStr">
        <is>
          <t>Rate (£)</t>
        </is>
      </c>
      <c r="F4" s="12" t="inlineStr">
        <is>
          <t>Total (£)</t>
        </is>
      </c>
    </row>
    <row r="5" ht="32" customHeight="1">
      <c r="A5" s="60" t="inlineStr">
        <is>
          <t xml:space="preserve">  C.1  —  Ready-Mix Concrete Supply  (C28/35 typical to BS 8500; basement + pool tank mix / admixture to the BS 8102 designer)</t>
        </is>
      </c>
    </row>
    <row r="6">
      <c r="A6" s="51" t="inlineStr">
        <is>
          <t>C.1</t>
        </is>
      </c>
      <c r="B6" s="52" t="inlineStr">
        <is>
          <t>Ready-mix concrete — Plot 1 dwelling  (1 plot(s), geometric void)</t>
        </is>
      </c>
      <c r="C6" s="51" t="inlineStr">
        <is>
          <t>m³</t>
        </is>
      </c>
      <c r="D6" s="61" t="n">
        <v>98.31999999999999</v>
      </c>
      <c r="E6" s="50" t="n"/>
      <c r="F6" s="54">
        <f>IF(AND(ISNUMBER(D6),ISNUMBER(E6)),D6*E6,0)</f>
        <v/>
      </c>
    </row>
    <row r="7"/>
    <row r="8" ht="20" customHeight="1">
      <c r="A8" s="60" t="inlineStr">
        <is>
          <t xml:space="preserve">  C.2  —  Concrete Pump Hire</t>
        </is>
      </c>
    </row>
    <row r="9">
      <c r="A9" s="47" t="inlineStr">
        <is>
          <t>C.2</t>
        </is>
      </c>
      <c r="B9" s="48" t="inlineStr">
        <is>
          <t>Boom pump hire — Plot 1 dwelling</t>
        </is>
      </c>
      <c r="C9" s="47" t="inlineStr">
        <is>
          <t>day</t>
        </is>
      </c>
      <c r="D9" s="49" t="n">
        <v>4</v>
      </c>
      <c r="E9" s="50" t="n"/>
      <c r="F9" s="38">
        <f>IF(AND(ISNUMBER(D9),ISNUMBER(E9)),D9*E9,0)</f>
        <v/>
      </c>
    </row>
    <row r="10">
      <c r="A10" s="47" t="inlineStr">
        <is>
          <t>C.2</t>
        </is>
      </c>
      <c r="B10" s="48" t="inlineStr">
        <is>
          <t>Pump mobilisation / demobilisation</t>
        </is>
      </c>
      <c r="C10" s="47" t="inlineStr">
        <is>
          <t>item</t>
        </is>
      </c>
      <c r="D10" s="49" t="n">
        <v>1</v>
      </c>
      <c r="E10" s="50" t="n"/>
      <c r="F10" s="38">
        <f>IF(AND(ISNUMBER(D10),ISNUMBER(E10)),D10*E10,0)</f>
        <v/>
      </c>
    </row>
    <row r="11"/>
    <row r="12" ht="20" customHeight="1">
      <c r="A12" s="60" t="inlineStr">
        <is>
          <t xml:space="preserve">  C.3  —  Concrete Vibration &amp; Placement Plant</t>
        </is>
      </c>
    </row>
    <row r="13">
      <c r="A13" s="47" t="inlineStr">
        <is>
          <t>C.3</t>
        </is>
      </c>
      <c r="B13" s="48" t="inlineStr">
        <is>
          <t>Internal poker vibrator hire — site duration</t>
        </is>
      </c>
      <c r="C13" s="47" t="inlineStr">
        <is>
          <t>wk</t>
        </is>
      </c>
      <c r="D13" s="49" t="n">
        <v>5</v>
      </c>
      <c r="E13" s="50" t="n"/>
      <c r="F13" s="38">
        <f>IF(AND(ISNUMBER(D13),ISNUMBER(E13)),D13*E13,0)</f>
        <v/>
      </c>
    </row>
    <row r="14">
      <c r="A14" s="47" t="inlineStr">
        <is>
          <t>C.3</t>
        </is>
      </c>
      <c r="B14" s="48" t="inlineStr">
        <is>
          <t>Concrete banksman / poker operator</t>
        </is>
      </c>
      <c r="C14" s="47" t="inlineStr">
        <is>
          <t>day</t>
        </is>
      </c>
      <c r="D14" s="55" t="n"/>
      <c r="E14" s="50" t="n"/>
      <c r="F14" s="38">
        <f>IF(AND(ISNUMBER(D14),ISNUMBER(E14)),D14*E14,0)</f>
        <v/>
      </c>
    </row>
    <row r="15"/>
    <row r="16" ht="24" customHeight="1">
      <c r="A16" s="56" t="n"/>
      <c r="B16" s="57" t="inlineStr">
        <is>
          <t>C  —  CONCRETE SUBTOTAL</t>
        </is>
      </c>
      <c r="C16" s="56" t="n"/>
      <c r="D16" s="56" t="n"/>
      <c r="E16" s="56" t="n"/>
      <c r="F16" s="58">
        <f>SUM(F5:F14)</f>
        <v/>
      </c>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c r="F1000" s="59">
        <f>F16</f>
        <v/>
      </c>
    </row>
  </sheetData>
  <mergeCells count="5">
    <mergeCell ref="A2:F2"/>
    <mergeCell ref="A1:F1"/>
    <mergeCell ref="A5:F5"/>
    <mergeCell ref="A8:F8"/>
    <mergeCell ref="A12:F12"/>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10" customWidth="1" min="3" max="3"/>
    <col width="14" customWidth="1" min="4" max="4"/>
    <col width="14" customWidth="1" min="5" max="5"/>
    <col width="16" customWidth="1" min="6" max="6"/>
  </cols>
  <sheetData>
    <row r="1" ht="28" customHeight="1">
      <c r="A1" s="22" t="inlineStr">
        <is>
          <t xml:space="preserve">  D  ·  LABOUR  —  ICF INSTALL, FLOORS &amp; ROOFS</t>
        </is>
      </c>
    </row>
    <row r="2" ht="40" customHeight="1">
      <c r="A2" s="23" t="inlineStr">
        <is>
          <t>ICF install days scaled proportionately against the Maycroft reference (52.65 forms per gang-day). Rates below are per 4-man gang per day. Floor and roof allowances are taken per group from the project configuration.</t>
        </is>
      </c>
    </row>
    <row r="3"/>
    <row r="4" ht="24" customHeight="1">
      <c r="A4" s="12" t="inlineStr">
        <is>
          <t>Ref</t>
        </is>
      </c>
      <c r="B4" s="12" t="inlineStr">
        <is>
          <t>Description</t>
        </is>
      </c>
      <c r="C4" s="12" t="inlineStr">
        <is>
          <t>Unit</t>
        </is>
      </c>
      <c r="D4" s="12" t="inlineStr">
        <is>
          <t>Qty</t>
        </is>
      </c>
      <c r="E4" s="12" t="inlineStr">
        <is>
          <t>Rate (£)</t>
        </is>
      </c>
      <c r="F4" s="12" t="inlineStr">
        <is>
          <t>Total (£)</t>
        </is>
      </c>
    </row>
    <row r="5" ht="20" customHeight="1">
      <c r="A5" s="60" t="inlineStr">
        <is>
          <t xml:space="preserve">  D.1  —  ICF Install Gang</t>
        </is>
      </c>
    </row>
    <row r="6">
      <c r="A6" s="51" t="inlineStr">
        <is>
          <t>D.1</t>
        </is>
      </c>
      <c r="B6" s="52" t="inlineStr">
        <is>
          <t>ICF install — Plot 1 dwelling  (449 forms ÷ 52.65 forms/day = 8.5 gang-days)</t>
        </is>
      </c>
      <c r="C6" s="51" t="inlineStr">
        <is>
          <t>gang-day</t>
        </is>
      </c>
      <c r="D6" s="61" t="n">
        <v>8.5</v>
      </c>
      <c r="E6" s="50" t="n"/>
      <c r="F6" s="54">
        <f>IF(AND(ISNUMBER(D6),ISNUMBER(E6)),D6*E6,0)</f>
        <v/>
      </c>
    </row>
    <row r="7">
      <c r="A7" s="47" t="inlineStr">
        <is>
          <t>D.1</t>
        </is>
      </c>
      <c r="B7" s="48" t="inlineStr">
        <is>
          <t>Snag, pour &amp; cure attendance (30% allowance, project total)</t>
        </is>
      </c>
      <c r="C7" s="47" t="inlineStr">
        <is>
          <t>gang-day</t>
        </is>
      </c>
      <c r="D7" s="62" t="n">
        <v>2.6</v>
      </c>
      <c r="E7" s="50" t="n"/>
      <c r="F7" s="38">
        <f>IF(AND(ISNUMBER(D7),ISNUMBER(E7)),D7*E7,0)</f>
        <v/>
      </c>
    </row>
    <row r="8"/>
    <row r="9" ht="32" customHeight="1">
      <c r="A9" s="60" t="inlineStr">
        <is>
          <t xml:space="preserve">  D.2  —  RC Slabs by Others  (basement raft — groundworks; GF suspended slab — engineer / frame contractor): programme days, NOT ICF labour</t>
        </is>
      </c>
    </row>
    <row r="10">
      <c r="A10" s="51" t="inlineStr">
        <is>
          <t>D.2</t>
        </is>
      </c>
      <c r="B10" s="52" t="inlineStr">
        <is>
          <t>RC slabs by others (raft + GF slab; programme days) — Plot 1 dwelling  (2 floors × 1 gang-days)</t>
        </is>
      </c>
      <c r="C10" s="51" t="inlineStr">
        <is>
          <t>gang-day</t>
        </is>
      </c>
      <c r="D10" s="53" t="n">
        <v>2</v>
      </c>
      <c r="E10" s="50" t="n"/>
      <c r="F10" s="54">
        <f>IF(AND(ISNUMBER(D10),ISNUMBER(E10)),D10*E10,0)</f>
        <v/>
      </c>
    </row>
    <row r="11"/>
    <row r="12" ht="20" customHeight="1">
      <c r="A12" s="60" t="inlineStr">
        <is>
          <t xml:space="preserve">  D.3  —  Roof Structure Labour  (vaulted cut roof: 63 x 220 C24 rafters @ 600 on ridge beams + 3 SHS posts)</t>
        </is>
      </c>
    </row>
    <row r="13">
      <c r="A13" s="47" t="inlineStr">
        <is>
          <t>D.3</t>
        </is>
      </c>
      <c r="B13" s="48" t="inlineStr">
        <is>
          <t>Roof structure — Plot 1 dwelling</t>
        </is>
      </c>
      <c r="C13" s="47" t="inlineStr">
        <is>
          <t>gang-day</t>
        </is>
      </c>
      <c r="D13" s="49" t="n">
        <v>1</v>
      </c>
      <c r="E13" s="50" t="n"/>
      <c r="F13" s="38">
        <f>IF(AND(ISNUMBER(D13),ISNUMBER(E13)),D13*E13,0)</f>
        <v/>
      </c>
    </row>
    <row r="14"/>
    <row r="15" ht="24" customHeight="1">
      <c r="A15" s="56" t="n"/>
      <c r="B15" s="57" t="inlineStr">
        <is>
          <t>D  —  LABOUR SUBTOTAL</t>
        </is>
      </c>
      <c r="C15" s="56" t="n"/>
      <c r="D15" s="56" t="n"/>
      <c r="E15" s="56" t="n"/>
      <c r="F15" s="58">
        <f>SUM(F5:F13)</f>
        <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c r="F1000" s="59">
        <f>F15</f>
        <v/>
      </c>
    </row>
  </sheetData>
  <mergeCells count="5">
    <mergeCell ref="A2:F2"/>
    <mergeCell ref="A1:F1"/>
    <mergeCell ref="A5:F5"/>
    <mergeCell ref="A9:F9"/>
    <mergeCell ref="A12:F12"/>
  </mergeCells>
  <printOptions horizontalCentered="1"/>
  <pageMargins left="0.5" right="0.5" top="0.6" bottom="0.6" header="0.3" footer="0.3"/>
  <pageSetup orientation="portrait"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14" customWidth="1" min="1" max="1"/>
    <col width="12" customWidth="1" min="2" max="2"/>
    <col width="12" customWidth="1" min="3" max="3"/>
    <col width="14" customWidth="1" min="4" max="4"/>
    <col width="14" customWidth="1" min="5" max="5"/>
    <col width="12" customWidth="1" min="6" max="6"/>
    <col width="12" customWidth="1" min="7" max="7"/>
  </cols>
  <sheetData>
    <row r="1" ht="28" customHeight="1">
      <c r="A1" s="22" t="inlineStr">
        <is>
          <t xml:space="preserve">  F  ·  REFERENCE DATA  (informative only)</t>
        </is>
      </c>
    </row>
    <row r="2" ht="32" customHeight="1">
      <c r="A2" s="23" t="inlineStr">
        <is>
          <t>Per-group quantities calculated from the BuildEase take-off models. Values feed into Sections C and D. Render is excluded from this BOQ.</t>
        </is>
      </c>
    </row>
    <row r="3"/>
    <row r="4" ht="24" customHeight="1">
      <c r="A4" s="12" t="inlineStr">
        <is>
          <t>Group</t>
        </is>
      </c>
      <c r="B4" s="12" t="inlineStr">
        <is>
          <t>Plots</t>
        </is>
      </c>
      <c r="C4" s="12" t="inlineStr">
        <is>
          <t>Forms</t>
        </is>
      </c>
      <c r="D4" s="12" t="inlineStr">
        <is>
          <t>Concrete (m³)</t>
        </is>
      </c>
      <c r="E4" s="12" t="inlineStr">
        <is>
          <t>ICF install days</t>
        </is>
      </c>
      <c r="F4" s="12" t="inlineStr">
        <is>
          <t>Floor + Roof days</t>
        </is>
      </c>
      <c r="G4" s="12" t="inlineStr">
        <is>
          <t>Pre-cut (£)</t>
        </is>
      </c>
    </row>
    <row r="5">
      <c r="A5" s="14" t="inlineStr">
        <is>
          <t>Plot 1 dwelling</t>
        </is>
      </c>
      <c r="B5" s="27" t="n">
        <v>1</v>
      </c>
      <c r="C5" s="27" t="n">
        <v>449</v>
      </c>
      <c r="D5" s="62" t="n">
        <v>98.31999999999999</v>
      </c>
      <c r="E5" s="62" t="n">
        <v>8.5</v>
      </c>
      <c r="F5" s="49" t="n">
        <v>3</v>
      </c>
      <c r="G5" s="38" t="n">
        <v>1702.62</v>
      </c>
    </row>
    <row r="6" ht="26" customHeight="1">
      <c r="A6" s="63" t="inlineStr">
        <is>
          <t>SITE</t>
        </is>
      </c>
      <c r="B6" s="64" t="n">
        <v>1</v>
      </c>
      <c r="C6" s="64" t="n">
        <v>449</v>
      </c>
      <c r="D6" s="65" t="n">
        <v>98.31999999999999</v>
      </c>
      <c r="E6" s="65" t="n">
        <v>8.5</v>
      </c>
      <c r="F6" s="66" t="n">
        <v>3</v>
      </c>
      <c r="G6" s="67" t="n">
        <v>1702.62</v>
      </c>
    </row>
    <row r="7"/>
    <row r="8"/>
    <row r="9" ht="22" customHeight="1">
      <c r="A9" s="68" t="inlineStr">
        <is>
          <t xml:space="preserve">  PER-LIFT FORM BREAKDOWN</t>
        </is>
      </c>
    </row>
    <row r="10" ht="24" customHeight="1">
      <c r="A10" s="12" t="inlineStr">
        <is>
          <t>Group</t>
        </is>
      </c>
      <c r="B10" s="12" t="inlineStr">
        <is>
          <t>Lift</t>
        </is>
      </c>
      <c r="C10" s="12" t="inlineStr">
        <is>
          <t>4" Std</t>
        </is>
      </c>
      <c r="D10" s="12" t="inlineStr">
        <is>
          <t>6" XR35 str</t>
        </is>
      </c>
      <c r="E10" s="12" t="inlineStr">
        <is>
          <t>6" XR35 cnr</t>
        </is>
      </c>
      <c r="F10" s="12" t="inlineStr">
        <is>
          <t>10" Std</t>
        </is>
      </c>
      <c r="G10" s="12" t="inlineStr">
        <is>
          <t>Lift total</t>
        </is>
      </c>
    </row>
    <row r="11">
      <c r="A11" s="47" t="inlineStr">
        <is>
          <t>Plot 1 dwelling</t>
        </is>
      </c>
      <c r="B11" s="47" t="inlineStr">
        <is>
          <t>P</t>
        </is>
      </c>
      <c r="C11" s="49" t="n">
        <v>0</v>
      </c>
      <c r="D11" s="49" t="n">
        <v>0</v>
      </c>
      <c r="E11" s="49" t="n">
        <v>0</v>
      </c>
      <c r="F11" s="49" t="n">
        <v>48</v>
      </c>
      <c r="G11" s="49" t="n">
        <v>48</v>
      </c>
    </row>
    <row r="12">
      <c r="A12" s="51" t="inlineStr">
        <is>
          <t>Plot 1 dwelling</t>
        </is>
      </c>
      <c r="B12" s="51" t="inlineStr">
        <is>
          <t>BL</t>
        </is>
      </c>
      <c r="C12" s="53" t="n">
        <v>0</v>
      </c>
      <c r="D12" s="53" t="n">
        <v>0</v>
      </c>
      <c r="E12" s="53" t="n">
        <v>0</v>
      </c>
      <c r="F12" s="53" t="n">
        <v>208</v>
      </c>
      <c r="G12" s="53" t="n">
        <v>208</v>
      </c>
    </row>
    <row r="13">
      <c r="A13" s="47" t="inlineStr">
        <is>
          <t>Plot 1 dwelling</t>
        </is>
      </c>
      <c r="B13" s="47" t="inlineStr">
        <is>
          <t>FB</t>
        </is>
      </c>
      <c r="C13" s="49" t="n">
        <v>0</v>
      </c>
      <c r="D13" s="49" t="n">
        <v>12</v>
      </c>
      <c r="E13" s="49" t="n">
        <v>4</v>
      </c>
      <c r="F13" s="49" t="n">
        <v>0</v>
      </c>
      <c r="G13" s="49" t="n">
        <v>16</v>
      </c>
    </row>
    <row r="14">
      <c r="A14" s="51" t="inlineStr">
        <is>
          <t>Plot 1 dwelling</t>
        </is>
      </c>
      <c r="B14" s="51" t="inlineStr">
        <is>
          <t>L1</t>
        </is>
      </c>
      <c r="C14" s="53" t="n">
        <v>0</v>
      </c>
      <c r="D14" s="53" t="n">
        <v>140</v>
      </c>
      <c r="E14" s="53" t="n">
        <v>37</v>
      </c>
      <c r="F14" s="53" t="n">
        <v>0</v>
      </c>
      <c r="G14" s="53" t="n">
        <v>177</v>
      </c>
    </row>
    <row r="15"/>
    <row r="16"/>
    <row r="17" ht="22" customHeight="1">
      <c r="A17" s="68" t="inlineStr">
        <is>
          <t xml:space="preserve">  GEOMETRIC CONSTANTS  &amp;  CALCULATION BASIS</t>
        </is>
      </c>
    </row>
    <row r="18" ht="18.5" customHeight="1">
      <c r="A18" s="26" t="inlineStr">
        <is>
          <t>Block length</t>
        </is>
      </c>
      <c r="B18" s="7" t="n"/>
      <c r="C18" s="14" t="inlineStr">
        <is>
          <t>2.438 m</t>
        </is>
      </c>
      <c r="D18" s="7" t="n"/>
      <c r="E18" s="69" t="inlineStr">
        <is>
          <t>96 inches</t>
        </is>
      </c>
      <c r="F18" s="7" t="n"/>
      <c r="G18" s="7" t="n"/>
    </row>
    <row r="19" ht="18.5" customHeight="1">
      <c r="A19" s="26" t="inlineStr">
        <is>
          <t>Course height</t>
        </is>
      </c>
      <c r="B19" s="7" t="n"/>
      <c r="C19" s="14" t="inlineStr">
        <is>
          <t>0.4574 m</t>
        </is>
      </c>
      <c r="D19" s="7" t="n"/>
      <c r="E19" s="69" t="inlineStr">
        <is>
          <t>18 inches</t>
        </is>
      </c>
      <c r="F19" s="7" t="n"/>
      <c r="G19" s="7" t="n"/>
    </row>
    <row r="20" ht="18.5" customHeight="1">
      <c r="A20" s="26" t="inlineStr">
        <is>
          <t>4" Std straight volume</t>
        </is>
      </c>
      <c r="B20" s="7" t="n"/>
      <c r="C20" s="14" t="inlineStr">
        <is>
          <t>0.1133 m³</t>
        </is>
      </c>
      <c r="D20" s="7" t="n"/>
      <c r="E20" s="69">
        <f> length × course × core</f>
        <v/>
      </c>
      <c r="F20" s="7" t="n"/>
      <c r="G20" s="7" t="n"/>
    </row>
    <row r="21" ht="18.5" customHeight="1">
      <c r="A21" s="26" t="inlineStr">
        <is>
          <t>6" XR35 straight volume</t>
        </is>
      </c>
      <c r="B21" s="7" t="n"/>
      <c r="C21" s="14" t="inlineStr">
        <is>
          <t>0.1699 m³</t>
        </is>
      </c>
      <c r="D21" s="7" t="n"/>
      <c r="E21" s="69">
        <f> length × course × core</f>
        <v/>
      </c>
      <c r="F21" s="7" t="n"/>
      <c r="G21" s="7" t="n"/>
    </row>
    <row r="22" ht="18.5" customHeight="1">
      <c r="A22" s="26" t="inlineStr">
        <is>
          <t>10" Std straight volume</t>
        </is>
      </c>
      <c r="B22" s="7" t="n"/>
      <c r="C22" s="14" t="inlineStr">
        <is>
          <t>0.2832 m³</t>
        </is>
      </c>
      <c r="D22" s="7" t="n"/>
      <c r="E22" s="69">
        <f> length × course × core</f>
        <v/>
      </c>
      <c r="F22" s="7" t="n"/>
      <c r="G22" s="7" t="n"/>
    </row>
    <row r="23" ht="18.5" customHeight="1">
      <c r="A23" s="26" t="inlineStr">
        <is>
          <t>4" Std corner volume</t>
        </is>
      </c>
      <c r="B23" s="7" t="n"/>
      <c r="C23" s="14" t="inlineStr">
        <is>
          <t>0.0511 m³</t>
        </is>
      </c>
      <c r="D23" s="7" t="n"/>
      <c r="E23" s="69" t="inlineStr">
        <is>
          <t>L-void; long 31.625" / short 15.625"</t>
        </is>
      </c>
      <c r="F23" s="7" t="n"/>
      <c r="G23" s="7" t="n"/>
    </row>
    <row r="24" ht="18.5" customHeight="1">
      <c r="A24" s="26" t="inlineStr">
        <is>
          <t>6" XR35 corner volume</t>
        </is>
      </c>
      <c r="B24" s="7" t="n"/>
      <c r="C24" s="14" t="inlineStr">
        <is>
          <t>0.1133 m³</t>
        </is>
      </c>
      <c r="D24" s="7" t="n"/>
      <c r="E24" s="69" t="inlineStr">
        <is>
          <t>L-void; long 43" / short 27"</t>
        </is>
      </c>
      <c r="F24" s="7" t="n"/>
      <c r="G24" s="7" t="n"/>
    </row>
    <row r="25" ht="18.5" customHeight="1">
      <c r="A25" s="26" t="inlineStr">
        <is>
          <t>Maycroft install rate</t>
        </is>
      </c>
      <c r="B25" s="7" t="n"/>
      <c r="C25" s="14" t="inlineStr">
        <is>
          <t>52.65 forms/day</t>
        </is>
      </c>
      <c r="D25" s="7" t="n"/>
      <c r="E25" s="69" t="inlineStr">
        <is>
          <t>Reference: 1053 forms ÷ 20 days</t>
        </is>
      </c>
      <c r="F25" s="7" t="n"/>
      <c r="G25" s="7" t="n"/>
    </row>
  </sheetData>
  <mergeCells count="28">
    <mergeCell ref="A24:B24"/>
    <mergeCell ref="A17:G17"/>
    <mergeCell ref="E19:G19"/>
    <mergeCell ref="C24:D24"/>
    <mergeCell ref="C20:D20"/>
    <mergeCell ref="A9:G9"/>
    <mergeCell ref="A25:B25"/>
    <mergeCell ref="C25:D25"/>
    <mergeCell ref="C22:D22"/>
    <mergeCell ref="A18:B18"/>
    <mergeCell ref="E25:G25"/>
    <mergeCell ref="A21:B21"/>
    <mergeCell ref="A1:G1"/>
    <mergeCell ref="C21:D21"/>
    <mergeCell ref="E22:G22"/>
    <mergeCell ref="E18:G18"/>
    <mergeCell ref="E21:G21"/>
    <mergeCell ref="A23:B23"/>
    <mergeCell ref="C23:D23"/>
    <mergeCell ref="A22:B22"/>
    <mergeCell ref="A20:B20"/>
    <mergeCell ref="E24:G24"/>
    <mergeCell ref="A19:B19"/>
    <mergeCell ref="E23:G23"/>
    <mergeCell ref="C19:D19"/>
    <mergeCell ref="A2:G2"/>
    <mergeCell ref="C18:D18"/>
    <mergeCell ref="E20:G20"/>
  </mergeCells>
  <printOptions horizontalCentered="1"/>
  <pageMargins left="0.5" right="0.5" top="0.6" bottom="0.6" header="0.3" footer="0.3"/>
  <pageSetup orientation="landscape" paperSize="9" fitToHeight="0" fitToWidth="1"/>
  <headerFooter>
    <oddHeader/>
    <oddFooter>&amp;L&amp;9 &amp;K5A6C7DPlot 1 Rivendell Park, Douglas  ·  ES26-084&amp;C&amp;7 &amp;K5A6C7DScotland - Building Standards (Scotland); building height ~6.3 m (below 11 m)   ·   Page &amp;P of &amp;N&amp;R&amp;9 &amp;K5A6C7DIssued 20 Oct 2026</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1"/>
  <sheetViews>
    <sheetView showGridLines="0" workbookViewId="0">
      <selection activeCell="A1" sqref="A1"/>
    </sheetView>
  </sheetViews>
  <sheetFormatPr baseColWidth="8" defaultRowHeight="15"/>
  <cols>
    <col width="22" customWidth="1" min="1" max="1"/>
    <col width="50" customWidth="1" min="2" max="2"/>
    <col width="18" customWidth="1" min="3" max="3"/>
    <col width="17" customWidth="1" min="4" max="4"/>
    <col width="17" customWidth="1" min="5" max="5"/>
    <col width="18" customWidth="1" min="6" max="6"/>
  </cols>
  <sheetData>
    <row r="1" ht="22" customHeight="1">
      <c r="C1" s="70" t="inlineStr">
        <is>
          <t>Bill of Quantities Package - Finishes &amp; Ancillary Trades</t>
        </is>
      </c>
    </row>
    <row r="2" ht="18" customHeight="1">
      <c r="C2" s="71" t="inlineStr">
        <is>
          <t>ES26-084  |  Plot 1 Rivendell Park, Douglas  |  Mr K &amp; Mrs Burrell</t>
        </is>
      </c>
    </row>
    <row r="3" ht="4" customHeight="1">
      <c r="A3" s="72" t="n"/>
      <c r="B3" s="72" t="n"/>
      <c r="C3" s="72" t="n"/>
      <c r="D3" s="72" t="n"/>
      <c r="E3" s="72" t="n"/>
      <c r="F3" s="72" t="n"/>
    </row>
    <row r="4" ht="84"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16" customHeight="1">
      <c r="A6" s="74" t="inlineStr">
        <is>
          <t>Project</t>
        </is>
      </c>
      <c r="B6" s="75" t="inlineStr">
        <is>
          <t>Plot 1 Rivendell Park, Douglas</t>
        </is>
      </c>
    </row>
    <row r="7" ht="32" customHeight="1">
      <c r="A7" s="74" t="inlineStr">
        <is>
          <t>Site</t>
        </is>
      </c>
      <c r="B7" s="75" t="inlineStr">
        <is>
          <t>New Dwelling at Plot 1 Rivendell Park, Douglas, Lanark, South Lanarkshire ML11 8EB</t>
        </is>
      </c>
    </row>
    <row r="8" ht="16" customHeight="1">
      <c r="A8" s="74" t="inlineStr">
        <is>
          <t>Client</t>
        </is>
      </c>
      <c r="B8" s="75" t="inlineStr">
        <is>
          <t>Mr K &amp; Mrs Burrell</t>
        </is>
      </c>
    </row>
    <row r="9" ht="32" customHeight="1">
      <c r="A9" s="74" t="inlineStr">
        <is>
          <t>Architect</t>
        </is>
      </c>
      <c r="B9" s="75" t="inlineStr">
        <is>
          <t>Foote McBride Associates (C2523 PP 01 001-008, Jan 26, Council Approval - planning only)</t>
        </is>
      </c>
    </row>
    <row r="10" ht="16" customHeight="1">
      <c r="A10" s="74" t="inlineStr">
        <is>
          <t>Quotation ref</t>
        </is>
      </c>
      <c r="B10" s="75" t="inlineStr">
        <is>
          <t>ES26-084</t>
        </is>
      </c>
    </row>
    <row r="11" ht="16" customHeight="1">
      <c r="A11" s="74" t="inlineStr">
        <is>
          <t>Document</t>
        </is>
      </c>
      <c r="B11" s="75" t="inlineStr">
        <is>
          <t>Bill of Quantities Package - Finishes &amp; Ancillary Trades</t>
        </is>
      </c>
    </row>
    <row r="12" ht="16" customHeight="1">
      <c r="A12" s="74" t="inlineStr">
        <is>
          <t>Issue</t>
        </is>
      </c>
      <c r="B12" s="75" t="inlineStr">
        <is>
          <t>01  (20/10/2026)</t>
        </is>
      </c>
    </row>
    <row r="13" ht="64" customHeight="1">
      <c r="A13" s="74" t="inlineStr">
        <is>
          <t>Scope</t>
        </is>
      </c>
      <c r="B13" s="75" t="inlineStr">
        <is>
          <t>One dwelling: ICF pool tank (10in Std) + basement (10in Std, garage, laundry, stores, pool hall) + master-suite footing and GF (6in XR35, cores aligned), RC pool base / raft / GF suspended slab (by others), vaulted cut roof with ridge beams, raked feature glazing</t>
        </is>
      </c>
    </row>
    <row r="14" ht="64" customHeight="1">
      <c r="A14" s="74" t="inlineStr">
        <is>
          <t>Building height</t>
        </is>
      </c>
      <c r="B14" s="76" t="inlineStr">
        <is>
          <t>SCOTLAND: the design must satisfy the Building Standards (Scotland) technical handbooks (building warrant from South Lanarkshire Council) - not the English Approved Documents / LABC. Building height ~6.3 m above the ground floor (ridge) - below 11 m.</t>
        </is>
      </c>
    </row>
    <row r="15" ht="112" customHeight="1">
      <c r="A15" s="74" t="inlineStr">
        <is>
          <t>Engineer / specialists</t>
        </is>
      </c>
      <c r="B15" s="76" t="inlineStr">
        <is>
          <t>ENGINEER / SPECIALISTS TO DESIGN (all slabs, roof timbers, steel posts, glazing and partitions are in the model for coordination only): the GF suspended slab over the pool and the 7.5 m garage (and the three ridge-post point loads that land on it), the 4.55 m garage door lintel, the vaulted roof ridge beams (120 x 400 GL24h glulam on steel posts; 140 x 800 GL24h glulam), the glazed gables; BS 8102 basement waterproofing (specialist designer); the ICF pool tank (pool specialist). NOT FOR CONSTRUCTION.</t>
        </is>
      </c>
    </row>
    <row r="16" ht="16" customHeight="1">
      <c r="A16" s="74" t="inlineStr">
        <is>
          <t>Prepared by</t>
        </is>
      </c>
      <c r="B16" s="75" t="inlineStr">
        <is>
          <t>BuildEase (Tremco CPG UK) - BuildEase Design Suite quotation model</t>
        </is>
      </c>
    </row>
    <row r="17" ht="32" customHeight="1">
      <c r="A17" s="74" t="inlineStr">
        <is>
          <t>Status</t>
        </is>
      </c>
      <c r="B17" s="77" t="inlineStr">
        <is>
          <t>FOR INFORMATION, COORDINATION AND PRICING BY OTHERS - rates blank; NOT part of the Nudura ICF price; NOT FOR CONSTRUCTION</t>
        </is>
      </c>
    </row>
    <row r="19" ht="20" customHeight="1">
      <c r="A19" s="78" t="inlineStr">
        <is>
          <t>PACKAGE OVERVIEW  -  pricing by others (all amounts formula-linked to each bill's Package Summary)</t>
        </is>
      </c>
    </row>
    <row r="20" ht="30" customHeight="1">
      <c r="A20" s="79" t="inlineStr">
        <is>
          <t>Bill</t>
        </is>
      </c>
      <c r="B20" s="79" t="inlineStr">
        <is>
          <t>Package</t>
        </is>
      </c>
      <c r="C20" s="79" t="inlineStr">
        <is>
          <t>Code / NRM2</t>
        </is>
      </c>
      <c r="D20" s="79" t="inlineStr">
        <is>
          <t>Supply £</t>
        </is>
      </c>
      <c r="E20" s="79" t="inlineStr">
        <is>
          <t>Install £</t>
        </is>
      </c>
      <c r="F20" s="79" t="inlineStr">
        <is>
          <t>Total £</t>
        </is>
      </c>
    </row>
    <row r="21" ht="30" customHeight="1">
      <c r="A21" s="80" t="inlineStr">
        <is>
          <t>Bill 1</t>
        </is>
      </c>
      <c r="B21" s="80" t="inlineStr">
        <is>
          <t>External Wall Finish to the ICF (render / cladding - spec TBC)</t>
        </is>
      </c>
      <c r="C21" s="80" t="inlineStr">
        <is>
          <t>EXT  NRM2 15 / 21</t>
        </is>
      </c>
      <c r="D21" s="81">
        <f>'Bill 1 External Finish'!K27</f>
        <v/>
      </c>
      <c r="E21" s="81">
        <f>'Bill 1 External Finish'!L27</f>
        <v/>
      </c>
      <c r="F21" s="81">
        <f>'Bill 1 External Finish'!M27</f>
        <v/>
      </c>
    </row>
    <row r="22" ht="30" customHeight="1">
      <c r="A22" s="80" t="inlineStr">
        <is>
          <t>Bill 2</t>
        </is>
      </c>
      <c r="B22" s="80" t="inlineStr">
        <is>
          <t>Internal Linings - Walls, Vaulted Ceilings, Tape, Beads &amp; Skim</t>
        </is>
      </c>
      <c r="C22" s="80" t="inlineStr">
        <is>
          <t>DRY  NRM2 28</t>
        </is>
      </c>
      <c r="D22" s="81">
        <f>'Bill 2 Internal Linings'!K40</f>
        <v/>
      </c>
      <c r="E22" s="81">
        <f>'Bill 2 Internal Linings'!L40</f>
        <v/>
      </c>
      <c r="F22" s="81">
        <f>'Bill 2 Internal Linings'!M40</f>
        <v/>
      </c>
    </row>
    <row r="23" ht="18" customHeight="1">
      <c r="A23" s="80" t="inlineStr">
        <is>
          <t>Bill 3</t>
        </is>
      </c>
      <c r="B23" s="80" t="inlineStr">
        <is>
          <t>Internal Doors &amp; Ironmongery</t>
        </is>
      </c>
      <c r="C23" s="80" t="inlineStr">
        <is>
          <t>JOI  NRM2 24</t>
        </is>
      </c>
      <c r="D23" s="81">
        <f>'Bill 3 Doors'!K29</f>
        <v/>
      </c>
      <c r="E23" s="81">
        <f>'Bill 3 Doors'!L29</f>
        <v/>
      </c>
      <c r="F23" s="81">
        <f>'Bill 3 Doors'!M29</f>
        <v/>
      </c>
    </row>
    <row r="24" ht="30" customHeight="1">
      <c r="A24" s="80" t="inlineStr">
        <is>
          <t>Bill 4</t>
        </is>
      </c>
      <c r="B24" s="80" t="inlineStr">
        <is>
          <t>Joinery - Skirtings, Architraves, Window Boards &amp; Stair</t>
        </is>
      </c>
      <c r="C24" s="80" t="inlineStr">
        <is>
          <t>JOI  NRM2 22</t>
        </is>
      </c>
      <c r="D24" s="81">
        <f>'Bill 4 Joinery'!K31</f>
        <v/>
      </c>
      <c r="E24" s="81">
        <f>'Bill 4 Joinery'!L31</f>
        <v/>
      </c>
      <c r="F24" s="81">
        <f>'Bill 4 Joinery'!M31</f>
        <v/>
      </c>
    </row>
    <row r="25" ht="30" customHeight="1">
      <c r="A25" s="80" t="inlineStr">
        <is>
          <t>Bill 5</t>
        </is>
      </c>
      <c r="B25" s="80" t="inlineStr">
        <is>
          <t>Timber Stud Partitions (TLSTF) - Framing, Openings, Head Restraint &amp; Fixings</t>
        </is>
      </c>
      <c r="C25" s="80" t="inlineStr">
        <is>
          <t>JOI  NRM2 16</t>
        </is>
      </c>
      <c r="D25" s="81">
        <f>'Bill 5 Partitions'!K43</f>
        <v/>
      </c>
      <c r="E25" s="81">
        <f>'Bill 5 Partitions'!L43</f>
        <v/>
      </c>
      <c r="F25" s="81">
        <f>'Bill 5 Partitions'!M43</f>
        <v/>
      </c>
    </row>
    <row r="26" ht="30" customHeight="1">
      <c r="A26" s="80" t="inlineStr">
        <is>
          <t>Bill 6</t>
        </is>
      </c>
      <c r="B26" s="80" t="inlineStr">
        <is>
          <t>Substructure &amp; Slabs - Pool Base, Raft, GF Slab, Floor Build-ups (coordination)</t>
        </is>
      </c>
      <c r="C26" s="80" t="inlineStr">
        <is>
          <t>RCF / FLR  NRM2 11</t>
        </is>
      </c>
      <c r="D26" s="81">
        <f>'Bill 6 Slabs'!K33</f>
        <v/>
      </c>
      <c r="E26" s="81">
        <f>'Bill 6 Slabs'!L33</f>
        <v/>
      </c>
      <c r="F26" s="81">
        <f>'Bill 6 Slabs'!M33</f>
        <v/>
      </c>
    </row>
    <row r="27" ht="30" customHeight="1">
      <c r="A27" s="80" t="inlineStr">
        <is>
          <t>Bill 7</t>
        </is>
      </c>
      <c r="B27" s="80" t="inlineStr">
        <is>
          <t>Vaulted Roof - Structure, Covering, Rainwater &amp; Insulation</t>
        </is>
      </c>
      <c r="C27" s="80" t="inlineStr">
        <is>
          <t>RFS / RFC  NRM2 16 / 18</t>
        </is>
      </c>
      <c r="D27" s="81">
        <f>'Bill 7 Roof'!K49</f>
        <v/>
      </c>
      <c r="E27" s="81">
        <f>'Bill 7 Roof'!L49</f>
        <v/>
      </c>
      <c r="F27" s="81">
        <f>'Bill 7 Roof'!M49</f>
        <v/>
      </c>
    </row>
    <row r="28" ht="30" customHeight="1">
      <c r="A28" s="80" t="inlineStr">
        <is>
          <t>Bill 8</t>
        </is>
      </c>
      <c r="B28" s="80" t="inlineStr">
        <is>
          <t>Glazing, External Doors, Raked Feature Screens &amp; Garage Door</t>
        </is>
      </c>
      <c r="C28" s="80" t="inlineStr">
        <is>
          <t>WIN / GLZ  NRM2 25</t>
        </is>
      </c>
      <c r="D28" s="81">
        <f>'Bill 8 Glazing'!K44</f>
        <v/>
      </c>
      <c r="E28" s="81">
        <f>'Bill 8 Glazing'!L44</f>
        <v/>
      </c>
      <c r="F28" s="81">
        <f>'Bill 8 Glazing'!M44</f>
        <v/>
      </c>
    </row>
    <row r="29" ht="30" customHeight="1">
      <c r="A29" s="80" t="inlineStr">
        <is>
          <t>Bill 9</t>
        </is>
      </c>
      <c r="B29" s="80" t="inlineStr">
        <is>
          <t>Basement Waterproofing (BS 8102) &amp; ICF Pool Tank - PROVISIONAL</t>
        </is>
      </c>
      <c r="C29" s="80" t="inlineStr">
        <is>
          <t>WPF / POOL  NRM2 17</t>
        </is>
      </c>
      <c r="D29" s="81">
        <f>'Bill 9 Waterproofing Pool'!K31</f>
        <v/>
      </c>
      <c r="E29" s="81">
        <f>'Bill 9 Waterproofing Pool'!L31</f>
        <v/>
      </c>
      <c r="F29" s="81">
        <f>'Bill 9 Waterproofing Pool'!M31</f>
        <v/>
      </c>
    </row>
    <row r="30" ht="20" customHeight="1">
      <c r="A30" s="82" t="inlineStr">
        <is>
          <t>GRAND TOTAL - finishes / ancillary trades, net (excl. VAT)</t>
        </is>
      </c>
      <c r="D30" s="83">
        <f>SUM(D21:D29)</f>
        <v/>
      </c>
      <c r="E30" s="83">
        <f>SUM(E21:E29)</f>
        <v/>
      </c>
      <c r="F30" s="83">
        <f>SUM(F21:F29)</f>
        <v/>
      </c>
    </row>
    <row r="32">
      <c r="A32" s="84" t="inlineStr">
        <is>
          <t>Optional additions (enter %; blank = 0)</t>
        </is>
      </c>
      <c r="C32" s="85" t="inlineStr">
        <is>
          <t>%</t>
        </is>
      </c>
      <c r="F32" s="85" t="inlineStr">
        <is>
          <t>Amount £</t>
        </is>
      </c>
    </row>
    <row r="33">
      <c r="A33" s="86" t="inlineStr">
        <is>
          <t>Preliminaries</t>
        </is>
      </c>
      <c r="B33" s="87" t="inlineStr">
        <is>
          <t>on the finishes net grand total</t>
        </is>
      </c>
      <c r="C33" s="88" t="n"/>
      <c r="F33" s="81">
        <f>(F30)*N(C33)</f>
        <v/>
      </c>
    </row>
    <row r="34">
      <c r="A34" s="86" t="inlineStr">
        <is>
          <t>Overheads &amp; profit</t>
        </is>
      </c>
      <c r="B34" s="87" t="inlineStr">
        <is>
          <t>on net total + preliminaries</t>
        </is>
      </c>
      <c r="C34" s="88" t="n"/>
      <c r="F34" s="81">
        <f>(F30+F33)*N(C34)</f>
        <v/>
      </c>
    </row>
    <row r="35">
      <c r="A35" s="86" t="inlineStr">
        <is>
          <t>Contingency</t>
        </is>
      </c>
      <c r="B35" s="87" t="inlineStr">
        <is>
          <t>on net total + preliminaries + OH&amp;P</t>
        </is>
      </c>
      <c r="C35" s="88" t="n"/>
      <c r="F35" s="81">
        <f>(F30+F33+F34)*N(C35)</f>
        <v/>
      </c>
    </row>
    <row r="36" ht="22" customHeight="1">
      <c r="A36" s="89" t="inlineStr">
        <is>
          <t>GRAND TOTAL finishes incl. preliminaries, OH&amp;P and contingency (excl. VAT)</t>
        </is>
      </c>
      <c r="F36" s="90">
        <f>F30+F33+F34+F35</f>
        <v/>
      </c>
    </row>
    <row r="38" ht="20" customHeight="1">
      <c r="A38" s="91" t="inlineStr">
        <is>
          <t>ICF PACKAGE HOOK  -  BuildEase BOQ Builder (ICF kit, concrete, labour, preliminaries, programme)</t>
        </is>
      </c>
    </row>
    <row r="39" ht="30" customHeight="1">
      <c r="A39" s="80" t="inlineStr">
        <is>
          <t>Nudura ICF package (BuildEase BOQ Builder sheets of this workbook: Summary NET TOTAL)</t>
        </is>
      </c>
      <c r="F39" s="92">
        <f>'Summary'!$E$11</f>
        <v/>
      </c>
    </row>
    <row r="40" ht="22" customHeight="1">
      <c r="A40" s="89" t="inlineStr">
        <is>
          <t>COMBINED TOTAL - finishes package (incl. additions) + ICF package, excl. VAT</t>
        </is>
      </c>
      <c r="F40" s="90">
        <f>F36+N(F39)</f>
        <v/>
      </c>
    </row>
    <row r="41" ht="36" customHeight="1">
      <c r="A41" s="93" t="inlineStr">
        <is>
          <t>Pale-yellow cells are the only inputs (rates on each bill sheet, percentages and the ICF hook here). Everything else is a locked formula (protection has no password). Schedules A to D are reference only and are not priced. Named cells: FINISHES_NET_TOTAL, FINISHES_GRAND_TOTAL, ICF_PACKAGE_TOTAL, COMBINED_TOTAL.</t>
        </is>
      </c>
    </row>
    <row r="43" ht="80" customHeight="1">
      <c r="A43" s="94" t="inlineStr">
        <is>
          <t>IMPORTANT -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45" ht="20" customHeight="1">
      <c r="A45" s="91" t="inlineStr">
        <is>
          <t>KEY QUANTITIES  (site totals: one dwelling, levels P / BL / FB / L1, net; linked to the bills)</t>
        </is>
      </c>
    </row>
    <row r="46">
      <c r="A46" s="86" t="inlineStr">
        <is>
          <t>External finish to the ICF (GF + exposed below FFL)</t>
        </is>
      </c>
      <c r="D46" s="95">
        <f>'Bill 1 External Finish'!H10+'Bill 1 External Finish'!H11</f>
        <v/>
      </c>
      <c r="E46" s="86" t="inlineStr">
        <is>
          <t>m2</t>
        </is>
      </c>
    </row>
    <row r="47">
      <c r="A47" s="86" t="inlineStr">
        <is>
          <t>Wall linings (ICF faces, partitions, reveals)</t>
        </is>
      </c>
      <c r="D47" s="95">
        <f>'Bill 2 Internal Linings'!H10+'Bill 2 Internal Linings'!H11+'Bill 2 Internal Linings'!H12+'Bill 2 Internal Linings'!H13+'Bill 2 Internal Linings'!H14+'Bill 2 Internal Linings'!H15+'Bill 2 Internal Linings'!H16+'Bill 2 Internal Linings'!H17+'Bill 2 Internal Linings'!H18</f>
        <v/>
      </c>
      <c r="E47" s="86" t="inlineStr">
        <is>
          <t>m2</t>
        </is>
      </c>
    </row>
    <row r="48">
      <c r="A48" s="86" t="inlineStr">
        <is>
          <t>Ceilings (basement + GF vaulted on the slope)</t>
        </is>
      </c>
      <c r="D48" s="95">
        <f>'Bill 2 Internal Linings'!H21+'Bill 2 Internal Linings'!H22+'Bill 2 Internal Linings'!H23+'Bill 2 Internal Linings'!H24</f>
        <v/>
      </c>
      <c r="E48" s="86" t="inlineStr">
        <is>
          <t>m2</t>
        </is>
      </c>
    </row>
    <row r="49">
      <c r="A49" s="86" t="inlineStr">
        <is>
          <t>Skim coat</t>
        </is>
      </c>
      <c r="D49" s="95">
        <f>'Bill 2 Internal Linings'!H31</f>
        <v/>
      </c>
      <c r="E49" s="86" t="inlineStr">
        <is>
          <t>m2</t>
        </is>
      </c>
    </row>
    <row r="50">
      <c r="A50" s="86" t="inlineStr">
        <is>
          <t>Internal doorsets</t>
        </is>
      </c>
      <c r="D50" s="95">
        <f>'Bill 3 Doors'!H10+'Bill 3 Doors'!H11+'Bill 3 Doors'!H12+'Bill 3 Doors'!H13+'Bill 3 Doors'!H14+'Bill 3 Doors'!H15+'Bill 3 Doors'!H16</f>
        <v/>
      </c>
      <c r="E50" s="86" t="inlineStr">
        <is>
          <t>nr</t>
        </is>
      </c>
    </row>
    <row r="51">
      <c r="A51" s="86" t="inlineStr">
        <is>
          <t>Skirting</t>
        </is>
      </c>
      <c r="D51" s="95">
        <f>'Bill 4 Joinery'!H10</f>
        <v/>
      </c>
      <c r="E51" s="86" t="inlineStr">
        <is>
          <t>m</t>
        </is>
      </c>
    </row>
    <row r="52">
      <c r="A52" s="86" t="inlineStr">
        <is>
          <t>Timber stud partitions (gross area)</t>
        </is>
      </c>
      <c r="D52" s="95">
        <f>'Bill 5 Partitions'!H10+'Bill 5 Partitions'!H11</f>
        <v/>
      </c>
      <c r="E52" s="86" t="inlineStr">
        <is>
          <t>m2</t>
        </is>
      </c>
    </row>
    <row r="53">
      <c r="A53" s="86" t="inlineStr">
        <is>
          <t>Partition door openings formed</t>
        </is>
      </c>
      <c r="D53" s="95">
        <f>'Bill 5 Partitions'!H21+'Bill 5 Partitions'!H22+'Bill 5 Partitions'!H23+'Bill 5 Partitions'!H24+'Bill 5 Partitions'!H25+'Bill 5 Partitions'!H26+'Bill 5 Partitions'!H27</f>
        <v/>
      </c>
      <c r="E53" s="86" t="inlineStr">
        <is>
          <t>nr</t>
        </is>
      </c>
    </row>
    <row r="54">
      <c r="A54" s="86" t="inlineStr">
        <is>
          <t>RC base / raft / GF slab (by others)</t>
        </is>
      </c>
      <c r="D54" s="95">
        <f>'Bill 6 Slabs'!H10+'Bill 6 Slabs'!H11+'Bill 6 Slabs'!H12</f>
        <v/>
      </c>
      <c r="E54" s="86" t="inlineStr">
        <is>
          <t>m3</t>
        </is>
      </c>
    </row>
    <row r="55">
      <c r="A55" s="86" t="inlineStr">
        <is>
          <t>Rafters 63 x 220 C24 (total length)</t>
        </is>
      </c>
      <c r="D55" s="95">
        <f>'Bill 7 Roof'!H16</f>
        <v/>
      </c>
      <c r="E55" s="86" t="inlineStr">
        <is>
          <t>m</t>
        </is>
      </c>
    </row>
    <row r="56">
      <c r="A56" s="86" t="inlineStr">
        <is>
          <t>Roof covering on the slope</t>
        </is>
      </c>
      <c r="D56" s="95">
        <f>'Bill 7 Roof'!H28</f>
        <v/>
      </c>
      <c r="E56" s="86" t="inlineStr">
        <is>
          <t>m2</t>
        </is>
      </c>
    </row>
    <row r="57">
      <c r="A57" s="86" t="inlineStr">
        <is>
          <t>Windows (UPVC)</t>
        </is>
      </c>
      <c r="D57" s="95">
        <f>'Bill 8 Glazing'!H10+'Bill 8 Glazing'!H11+'Bill 8 Glazing'!H12+'Bill 8 Glazing'!H13+'Bill 8 Glazing'!H14+'Bill 8 Glazing'!H15+'Bill 8 Glazing'!H16</f>
        <v/>
      </c>
      <c r="E57" s="86" t="inlineStr">
        <is>
          <t>nr</t>
        </is>
      </c>
    </row>
    <row r="58">
      <c r="A58" s="86" t="inlineStr">
        <is>
          <t>Raked feature screens (gross)</t>
        </is>
      </c>
      <c r="D58" s="95">
        <f>'Bill 8 Glazing'!H27+'Bill 8 Glazing'!H28+'Bill 8 Glazing'!H29+'Bill 8 Glazing'!H30</f>
        <v/>
      </c>
      <c r="E58" s="86" t="inlineStr">
        <is>
          <t>m2</t>
        </is>
      </c>
    </row>
    <row r="59">
      <c r="A59" s="86" t="inlineStr">
        <is>
          <t>Below-ground ICF faces (Type A tanking)</t>
        </is>
      </c>
      <c r="D59" s="95">
        <f>'Bill 9 Waterproofing Pool'!H10</f>
        <v/>
      </c>
      <c r="E59" s="86" t="inlineStr">
        <is>
          <t>m2</t>
        </is>
      </c>
    </row>
    <row r="61">
      <c r="A61" s="96" t="inlineStr">
        <is>
          <t>Document control</t>
        </is>
      </c>
    </row>
    <row r="62" ht="30" customHeight="1">
      <c r="A62" s="79" t="inlineStr">
        <is>
          <t>Issue</t>
        </is>
      </c>
      <c r="B62" s="79" t="inlineStr">
        <is>
          <t>Description</t>
        </is>
      </c>
      <c r="C62" s="79" t="inlineStr">
        <is>
          <t>Date</t>
        </is>
      </c>
      <c r="D62" s="79" t="inlineStr">
        <is>
          <t>By / Status</t>
        </is>
      </c>
      <c r="E62" s="97" t="n"/>
      <c r="F62" s="98" t="n"/>
    </row>
    <row r="63" ht="70" customHeight="1">
      <c r="A63" s="80" t="inlineStr">
        <is>
          <t>01</t>
        </is>
      </c>
      <c r="B63" s="80" t="inlineStr">
        <is>
          <t>First issue: finishes / ancillary-trades BOQ package for the Nudura ICF quotation Rev B (port of the ES26-052 / ES26-080 packages, per level P / BL / FB / L1 for one dwelling), merged with the BuildEase BOQ Builder ICF bill + programme. Live pricing workbook: rates blank for pricing by others; ICF_PACKAGE_TOTAL linked to the BOQ Builder NET TOTAL</t>
        </is>
      </c>
      <c r="C63" s="80" t="inlineStr">
        <is>
          <t>20/10/2026</t>
        </is>
      </c>
      <c r="D63" s="80" t="inlineStr">
        <is>
          <t>BuildEase - T. Smith / For information / pricing by others - NOT FOR CONSTRUCTION</t>
        </is>
      </c>
      <c r="E63" s="80" t="n"/>
      <c r="F63" s="80" t="n"/>
    </row>
    <row r="65">
      <c r="A65" s="96" t="inlineStr">
        <is>
          <t>Contents</t>
        </is>
      </c>
    </row>
    <row r="66">
      <c r="A66" t="inlineStr">
        <is>
          <t>Finishes Cover (this sheet) - overview</t>
        </is>
      </c>
    </row>
    <row r="67">
      <c r="A67" t="inlineStr">
        <is>
          <t>General Notes</t>
        </is>
      </c>
    </row>
    <row r="68">
      <c r="A68" t="inlineStr">
        <is>
          <t>Summary of Bills (section breakdown)</t>
        </is>
      </c>
    </row>
    <row r="69">
      <c r="A69" t="inlineStr">
        <is>
          <t>Finishes Bill 1 External Finish</t>
        </is>
      </c>
    </row>
    <row r="70">
      <c r="A70" t="inlineStr">
        <is>
          <t>Finishes Bill 2 Internal Lining</t>
        </is>
      </c>
    </row>
    <row r="71">
      <c r="A71" t="inlineStr">
        <is>
          <t>Finishes Bill 3 Doors</t>
        </is>
      </c>
    </row>
    <row r="72">
      <c r="A72" t="inlineStr">
        <is>
          <t>Finishes Bill 4 Joinery</t>
        </is>
      </c>
    </row>
    <row r="73">
      <c r="A73" t="inlineStr">
        <is>
          <t>Finishes Bill 5 Partitions</t>
        </is>
      </c>
    </row>
    <row r="74">
      <c r="A74" t="inlineStr">
        <is>
          <t>Finishes Bill 6 Slabs</t>
        </is>
      </c>
    </row>
    <row r="75">
      <c r="A75" t="inlineStr">
        <is>
          <t>Finishes Bill 7 Roof</t>
        </is>
      </c>
    </row>
    <row r="76">
      <c r="A76" t="inlineStr">
        <is>
          <t>Finishes Bill 8 Glazing</t>
        </is>
      </c>
    </row>
    <row r="77">
      <c r="A77" t="inlineStr">
        <is>
          <t>Finishes Bill 9 Waterproofing P</t>
        </is>
      </c>
    </row>
    <row r="78">
      <c r="A78" t="inlineStr">
        <is>
          <t>Schedule A Areas (not priced)</t>
        </is>
      </c>
    </row>
    <row r="79">
      <c r="A79" t="inlineStr">
        <is>
          <t>Schedule B Openings (not priced)</t>
        </is>
      </c>
    </row>
    <row r="80">
      <c r="A80" t="inlineStr">
        <is>
          <t>Schedule C Per Level (not priced)</t>
        </is>
      </c>
    </row>
    <row r="81">
      <c r="A81" t="inlineStr">
        <is>
          <t>Schedule D Partitions (not priced)</t>
        </is>
      </c>
    </row>
  </sheetData>
  <sheetProtection selectLockedCells="0" selectUnlockedCells="0" sheet="1" objects="0" insertRows="1" insertHyperlinks="1" autoFilter="1" scenarios="0" formatColumns="0" deleteColumns="1" insertColumns="1" pivotTables="1" deleteRows="1" formatCells="1" formatRows="0" sort="1"/>
  <mergeCells count="40">
    <mergeCell ref="A41:F41"/>
    <mergeCell ref="A39:E39"/>
    <mergeCell ref="B7:F7"/>
    <mergeCell ref="B16:F16"/>
    <mergeCell ref="A46:C46"/>
    <mergeCell ref="A56:C56"/>
    <mergeCell ref="A36:E36"/>
    <mergeCell ref="A55:C55"/>
    <mergeCell ref="A50:C50"/>
    <mergeCell ref="A57:C57"/>
    <mergeCell ref="B12:F12"/>
    <mergeCell ref="A47:C47"/>
    <mergeCell ref="B11:F11"/>
    <mergeCell ref="D62:F62"/>
    <mergeCell ref="A4:F4"/>
    <mergeCell ref="B14:F14"/>
    <mergeCell ref="B8:F8"/>
    <mergeCell ref="A53:C53"/>
    <mergeCell ref="B17:F17"/>
    <mergeCell ref="B13:F13"/>
    <mergeCell ref="A43:F43"/>
    <mergeCell ref="A38:F38"/>
    <mergeCell ref="A52:C52"/>
    <mergeCell ref="A19:F19"/>
    <mergeCell ref="B10:F10"/>
    <mergeCell ref="A58:C58"/>
    <mergeCell ref="C1:F1"/>
    <mergeCell ref="A30:C30"/>
    <mergeCell ref="A59:C59"/>
    <mergeCell ref="A48:C48"/>
    <mergeCell ref="B9:F9"/>
    <mergeCell ref="D63:F63"/>
    <mergeCell ref="A51:C51"/>
    <mergeCell ref="A49:C49"/>
    <mergeCell ref="B6:F6"/>
    <mergeCell ref="B15:F15"/>
    <mergeCell ref="A45:F45"/>
    <mergeCell ref="C2:F2"/>
    <mergeCell ref="A40:E40"/>
    <mergeCell ref="A54:C54"/>
  </mergeCells>
  <printOptions horizontalCentered="1"/>
  <pageMargins left="0.75" right="0.75" top="0.7" bottom="0.75" header="0.5" footer="0.5"/>
  <pageSetup orientation="portrait"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B59"/>
  <sheetViews>
    <sheetView showGridLines="0" workbookViewId="0">
      <selection activeCell="A1" sqref="A1"/>
    </sheetView>
  </sheetViews>
  <sheetFormatPr baseColWidth="8" defaultRowHeight="15"/>
  <cols>
    <col width="14" customWidth="1" min="1" max="1"/>
    <col width="116" customWidth="1" min="2" max="2"/>
  </cols>
  <sheetData>
    <row r="1" ht="22" customHeight="1">
      <c r="B1" s="70" t="inlineStr">
        <is>
          <t>General Notes, Measurement Basis, Assumptions &amp; Exclusions</t>
        </is>
      </c>
    </row>
    <row r="2" ht="18" customHeight="1">
      <c r="B2" s="71" t="inlineStr">
        <is>
          <t>ES26-084  |  Plot 1 Rivendell Park, Douglas  |  Mr K &amp; Mrs Burrell</t>
        </is>
      </c>
    </row>
    <row r="3" ht="4" customHeight="1">
      <c r="A3" s="72" t="n"/>
      <c r="B3" s="72" t="n"/>
    </row>
    <row r="4" ht="84"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c r="A6" s="99" t="inlineStr">
        <is>
          <t>1  Purpose, status, Scotland and building height</t>
        </is>
      </c>
    </row>
    <row r="7" ht="45" customHeight="1">
      <c r="A7" s="71" t="inlineStr">
        <is>
          <t>1.1</t>
        </is>
      </c>
      <c r="B7" s="75" t="inlineStr">
        <is>
          <t>SCOTLAND: the design must satisfy the Building Standards (Scotland) technical handbooks (building warrant from South Lanarkshire Council) - not the English Approved Documents / LABC. Building height ~6.3 m above the ground floor (ridge) - below 11 m.</t>
        </is>
      </c>
    </row>
    <row r="8" ht="75" customHeight="1">
      <c r="A8" s="71" t="inlineStr">
        <is>
          <t>1.2</t>
        </is>
      </c>
      <c r="B8" s="75" t="inlineStr">
        <is>
          <t>ENGINEER / SPECIALISTS TO DESIGN (all slabs, roof timbers, steel posts, glazing and partitions are in the model for coordination only): the GF suspended slab over the pool and the 7.5 m garage (and the three ridge-post point loads that land on it), the 4.55 m garage door lintel, the vaulted roof ridge beams (120 x 400 GL24h glulam on steel posts; 140 x 800 GL24h glulam), the glazed gables; BS 8102 basement waterproofing (specialist designer); the ICF pool tank (pool specialist). NOT FOR CONSTRUCTION.</t>
        </is>
      </c>
    </row>
    <row r="9" ht="45" customHeight="1">
      <c r="A9" s="71" t="inlineStr">
        <is>
          <t>1.3</t>
        </is>
      </c>
      <c r="B9" s="75" t="inlineStr">
        <is>
          <t>This package presents the finishes and ancillary-trade quantities measured by BuildEase alongside the Nudura ICF quotation for Plot 1 Rivendell Park, Douglas (ref ES26-084). It is set out as a Bill of Quantities so that the client, their quantity surveyor and trade contractors can price and coordinate the works.</t>
        </is>
      </c>
    </row>
    <row r="10" ht="45" customHeight="1">
      <c r="A10" s="71" t="inlineStr">
        <is>
          <t>1.4</t>
        </is>
      </c>
      <c r="B10" s="75" t="inlineStr">
        <is>
          <t>Status: FOR INFORMATION, COORDINATION AND PRICING BY OTHERS - NOT FOR CONSTRUCTION. Supply and install rates are left blank deliberately - BuildEase / Tremco CPG are not pricing these trades. The Excel workbook is a live pricing document: enter rates and every amount, subtotal and total updates by formula.</t>
        </is>
      </c>
    </row>
    <row r="11" ht="45" customHeight="1">
      <c r="A11" s="71" t="inlineStr">
        <is>
          <t>1.5</t>
        </is>
      </c>
      <c r="B11" s="75" t="inlineStr">
        <is>
          <t>The ICF kit, concrete core, pumping, ICF / floor / roof labour and the build programme are in the BuildEase BOQ Builder sheets of this workbook (Cover / Programme / Summary / A-F). The finishes cover carries a named hook (ICF_PACKAGE_TOTAL) linked to that NET TOTAL.</t>
        </is>
      </c>
    </row>
    <row r="12" ht="165" customHeight="1">
      <c r="A12" s="71" t="inlineStr">
        <is>
          <t>1.6</t>
        </is>
      </c>
      <c r="B12" s="75" t="inlineStr">
        <is>
          <t>PROGRAMME (BOQ Builder sheet 'Programme', 1 ICF crew of 8 + 1 joinery crew of 3, Tom's rule floors / roofs 1 day per plot, pours at 60 m3 / pump-day): 21 working days = 5 weeks. Sequence: ICF P d0-0.46; pour d1-2; cure d2-4; basement raft 300 RC d4-5; ICF BL d5-6.98; pour d9-10; GF suspended RC slab 250 d10-11; ICF FB d11-11.15; pour d14-15; ICF L1 d15-16.68; pour d19-20; vaulted roof structure d20-21. ICF concrete 98.32 m3 (geometric, ordered forms) in 4 pump days. ALIGNMENT: the proposal Rev B prices 3 stillages x 6 weeks hire (GBP 1,440.00); on this programme the alignment is needed from the first ICF lift (pool tank, day 0) to the last pour (GF L1, day 20) = 4 weeks on hire - 2 weeks LESS than priced (GBP 480.00 of hire not needed on this programme). SENSITIVITY: Tom's 1-day floor rule is written for timber floors; the two slabs here are RC (basement raft, GF suspended slab over the pool and the garage) - with 10 working days per slab for falsework / rebar / pour / cure before loading (engineer to confirm) the programme is 8 weeks and the alignment is on hire 8 weeks (+2 vs the 6 priced) unless it is off-hired between lifts. The proposal has NOT been changed - confirm the hire period with the client / site team.</t>
        </is>
      </c>
    </row>
    <row r="13" ht="45" customHeight="1">
      <c r="A13" s="71" t="inlineStr">
        <is>
          <t>1.7</t>
        </is>
      </c>
      <c r="B13" s="76" t="inlineStr">
        <is>
          <t>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t>
        </is>
      </c>
    </row>
    <row r="14" ht="60" customHeight="1">
      <c r="A14" s="71" t="inlineStr">
        <is>
          <t>1.8</t>
        </is>
      </c>
      <c r="B14" s="76" t="inlineStr">
        <is>
          <t>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16">
      <c r="A16" s="99" t="inlineStr">
        <is>
          <t>2  Basis of measurement</t>
        </is>
      </c>
    </row>
    <row r="17" ht="45" customHeight="1">
      <c r="A17" s="71" t="inlineStr">
        <is>
          <t>2.1</t>
        </is>
      </c>
      <c r="B17" s="75" t="inlineStr">
        <is>
          <t>Measured generally in accordance with the principles of NRM2 (RICS New Rules of Measurement): work measured net as fixed in position, grouped by work section, units m / m2 / m3 / t / nr / item. NRM2 is referenced for structure only; descriptions are BuildEase's own.</t>
        </is>
      </c>
    </row>
    <row r="18" ht="30" customHeight="1">
      <c r="A18" s="71" t="inlineStr">
        <is>
          <t>2.2</t>
        </is>
      </c>
      <c r="B18" s="75" t="inlineStr">
        <is>
          <t>Quantities are NET. No allowance for waste, laps, cutting or breakage is included unless stated; an "Order guide" with a stated waste % is guidance only.</t>
        </is>
      </c>
    </row>
    <row r="19" ht="30" customHeight="1">
      <c r="A19" s="71" t="inlineStr">
        <is>
          <t>2.3</t>
        </is>
      </c>
      <c r="B19" s="75" t="inlineStr">
        <is>
          <t>Quantity columns: one column PER MODEL LEVEL - P pool tank, BL basement, FB master-suite footing, L1 ground floor. One dwelling: the Site total is the sum of the levels (multiplier 1) and is a live formula.</t>
        </is>
      </c>
    </row>
    <row r="20" ht="90" customHeight="1">
      <c r="A20" s="71" t="inlineStr">
        <is>
          <t>2.4</t>
        </is>
      </c>
      <c r="B20" s="75" t="inlineStr">
        <is>
          <t>Sources: Foote McBride C2523 PP 01 001-008 (planning proposals, raster, Council Approval - planning only: no sections, dimensions or levels; heights and ground lines scaled from the elevations at 1:100); the BuildEase quotation model 03_Models/KB_build.skp through its specs (04_Logs/specs KB_spec.json, KB_slabs.json, KB_partitions.json), build reports (04_Logs/build: fbw_fit, floors, struct, TLSTF walls / doors / verify / rake / pattress / head-restraint) and the Report Tool component export (04_Logs/takeoff/KB_components.json: the inner / outer EPS face areas of the 588 modelled forms, openings net). Measured offline by 05_Scripts/kb_boq.py (no live model).</t>
        </is>
      </c>
    </row>
    <row r="22">
      <c r="A22" s="99" t="inlineStr">
        <is>
          <t>3  Assumptions</t>
        </is>
      </c>
    </row>
    <row r="23" ht="30" customHeight="1">
      <c r="A23" s="71" t="inlineStr">
        <is>
          <t>3.1</t>
        </is>
      </c>
      <c r="B23" s="75" t="inlineStr">
        <is>
          <t>Walls: basement + pool tank 10in Std (387.4 overall), GF + master-suite footing 6in XR35 (355.6), cores centre-aligned. Frames tight to the back of the outer EPS (101.8 GF / 66.8 basement): internal reveal 211 GF / 278 basement.</t>
        </is>
      </c>
    </row>
    <row r="24" ht="45" customHeight="1">
      <c r="A24" s="71" t="inlineStr">
        <is>
          <t>3.2</t>
        </is>
      </c>
      <c r="B24" s="75" t="inlineStr">
        <is>
          <t>Levels: GF FFL 0; basement FFL -3,300 (8 courses from -3,658); pool floor ~-4,800, pool walls from -5,029; FB -914 to 0; GF 14 courses to 6,401 (plate 2,286, gables raked at 45 deg, ridges ~6.0 m). GF slab top -75 (soffit -325) + 75 screed.</t>
        </is>
      </c>
    </row>
    <row r="25" ht="45" customHeight="1">
      <c r="A25" s="71" t="inlineStr">
        <is>
          <t>3.3</t>
        </is>
      </c>
      <c r="B25" s="75" t="inlineStr">
        <is>
          <t>External finish: generic "render or cladding, spec TBC" (the elevations read show no wall hatch). Exposed below-FFL faces from ground lines scaled off the elevation renders (+-150): garage apron ~3.26 below FFL, west 3.31 falling to 2.71, east ~1.23, wing front ~0.9-1.1, rear terrace at DPC.</t>
        </is>
      </c>
    </row>
    <row r="26" ht="45" customHeight="1">
      <c r="A26" s="71" t="inlineStr">
        <is>
          <t>3.4</t>
        </is>
      </c>
      <c r="B26" s="75" t="inlineStr">
        <is>
          <t>GF ceilings are vaulted throughout (plasterboard on the rafters, measured on the 45 deg slope); the GF partitions are raked to the vault (TLSTF rake profiles). Basement ceilings are the GF slab soffit; the garage ceiling / partitions are fire-resisting (warrant); the pool hall is by the pool specialist.</t>
        </is>
      </c>
    </row>
    <row r="27" ht="45" customHeight="1">
      <c r="A27" s="71" t="inlineStr">
        <is>
          <t>3.5</t>
        </is>
      </c>
      <c r="B27" s="75" t="inlineStr">
        <is>
          <t>Internal doors: 13 from the TLSTF door report; leaves the largest standard 1,981 leaf that fits the opening less 68. Wet rooms from the pattress reports. Partitions: TLSTF 38 x 89 C16 at 600 (400 wet) - BF 8 walls 31.4 m / GF 20 walls 43.0 m = 74.4 m, 13 door openings.</t>
        </is>
      </c>
    </row>
    <row r="28" ht="45" customHeight="1">
      <c r="A28" s="71" t="inlineStr">
        <is>
          <t>3.6</t>
        </is>
      </c>
      <c r="B28" s="75" t="inlineStr">
        <is>
          <t>Roof: rafters counted at 600 c/c between the gable walls (Roof L 35 per slope over 20.4 m, Roof R 20 per slope over 12.0 m), lengths on the 45 deg slope from the ridge face to the eaves overhang / valley; 5 rooflights read off the east elevation; covering 367.1 m2 on the slope.</t>
        </is>
      </c>
    </row>
    <row r="29" ht="30" customHeight="1">
      <c r="A29" s="71" t="inlineStr">
        <is>
          <t>3.7</t>
        </is>
      </c>
      <c r="B29" s="75" t="inlineStr">
        <is>
          <t>Raked glazing: sills G01 / G03a at FFL, G05 at -960 (entrance), G02R on the dining bi-fold head (2,075); areas from the fbw_fit head profiles.</t>
        </is>
      </c>
    </row>
    <row r="31">
      <c r="A31" s="99" t="inlineStr">
        <is>
          <t>4  Exclusions (not measured in this package)</t>
        </is>
      </c>
    </row>
    <row r="32" ht="30" customHeight="1">
      <c r="A32" s="71" t="inlineStr">
        <is>
          <t>4.1</t>
        </is>
      </c>
      <c r="B32" s="75" t="inlineStr">
        <is>
          <t>Nudura ICF formwork and accessories (in the Nudura price). ICF wall concrete, pumping, ICF / floor / roof labour and preliminaries are in the BOQ Builder sheets.</t>
        </is>
      </c>
    </row>
    <row r="33" ht="45" customHeight="1">
      <c r="A33" s="71" t="inlineStr">
        <is>
          <t>4.2</t>
        </is>
      </c>
      <c r="B33" s="75" t="inlineStr">
        <is>
          <t>Supply of windows, doors, screens and the garage door are listed for pricing by the window / glazing / door suppliers (Bill 8) - not by BuildEase. Chimney / flue, external works, drainage, retaining walls beyond the house, landscaping.</t>
        </is>
      </c>
    </row>
    <row r="34" ht="30" customHeight="1">
      <c r="A34" s="71" t="inlineStr">
        <is>
          <t>4.3</t>
        </is>
      </c>
      <c r="B34" s="75" t="inlineStr">
        <is>
          <t>Floor finishes, decorations, kitchens, sanitaryware, M&amp;E services (UFH pipework, pool plant, MVHR / dehumidification) and builder's work.</t>
        </is>
      </c>
    </row>
    <row r="35" ht="15" customHeight="1">
      <c r="A35" s="71" t="inlineStr">
        <is>
          <t>4.4</t>
        </is>
      </c>
      <c r="B35" s="75" t="inlineStr">
        <is>
          <t>Fire-stopping and fire-rated service penetrations, sealants and mastics, except where expressly described.</t>
        </is>
      </c>
    </row>
    <row r="37">
      <c r="A37" s="99" t="inlineStr">
        <is>
          <t>5  Open items / to be confirmed</t>
        </is>
      </c>
    </row>
    <row r="38" ht="60" customHeight="1">
      <c r="A38" s="71" t="inlineStr">
        <is>
          <t>5.1</t>
        </is>
      </c>
      <c r="B38" s="75" t="inlineStr">
        <is>
          <t>STRUCTURAL ENGINEER: GF suspended slab over the pool and the 7.5 m garage incl. the three ridge-post point loads that land on it over the pool tank (Bill 6C.1); the 4.55 m garage door lintel under the lounge front wall; the vaulted roof ridge beams (120 x 400 GL24h on SHS posts; 140 x 800 GL24h glulam, rear bearing on the glazed dining gable); the glazed gables; the ICF pool tank; tall raked GF partitions (studs to ~5.8 m).</t>
        </is>
      </c>
    </row>
    <row r="39" ht="30" customHeight="1">
      <c r="A39" s="71" t="inlineStr">
        <is>
          <t>5.2</t>
        </is>
      </c>
      <c r="B39" s="75" t="inlineStr">
        <is>
          <t>BS 8102 WATERPROOFING SPECIALIST: basement (Grade 3, habitable + pool hall) - system choice, Types A / B / C, sump and pumps, land drain (Bill 9A, provisional).</t>
        </is>
      </c>
    </row>
    <row r="40" ht="30" customHeight="1">
      <c r="A40" s="71" t="inlineStr">
        <is>
          <t>5.3</t>
        </is>
      </c>
      <c r="B40" s="75" t="inlineStr">
        <is>
          <t>POOL SPECIALIST: pool depth (1.5 m assumed - outline only on the drawings), tanking / finish, coping, plant, pool hall environment and its linings / ceiling (Bills 2A.3, 2B.3, 9B).</t>
        </is>
      </c>
    </row>
    <row r="41" ht="15" customHeight="1">
      <c r="A41" s="71" t="inlineStr">
        <is>
          <t>5.4</t>
        </is>
      </c>
      <c r="B41" s="75" t="inlineStr">
        <is>
          <t>GARAGE DOOR SUPPLIER: 4,555 x 2,394 sectional door (Bill 8E.2, provisional - not fitted in the model).</t>
        </is>
      </c>
    </row>
    <row r="42" ht="30" customHeight="1">
      <c r="A42" s="71" t="inlineStr">
        <is>
          <t>5.5</t>
        </is>
      </c>
      <c r="B42" s="75" t="inlineStr">
        <is>
          <t>GLAZING SPECIALIST: the raked feature screens to the vault / glazed gables G01, G02R, G03a, G05 (Bill 8D) - design, wind load, mullions, safety glass, support of the glazed dining gable under the glulam ridge.</t>
        </is>
      </c>
    </row>
    <row r="43" ht="60" customHeight="1">
      <c r="A43" s="71" t="inlineStr">
        <is>
          <t>5.6</t>
        </is>
      </c>
      <c r="B43" s="75" t="inlineStr">
        <is>
          <t>ARCHITECT / WARRANT (Building Standards (Scotland)): guarding to the floor-length windows where the ground is &gt; 600 mm below (Standard 4.4, 8E.1); safety glazing (4.8); internal door widths (4.2 - the 680 / 762 openings); garage / dwelling fire separation (Section 2: doors, partitions, ceiling); noise between rooms (5.2); energy / U-values (Section 6); external finish specification (Bill 1).</t>
        </is>
      </c>
    </row>
    <row r="44" ht="30" customHeight="1">
      <c r="A44" s="71" t="inlineStr">
        <is>
          <t>5.7</t>
        </is>
      </c>
      <c r="B44" s="75" t="inlineStr">
        <is>
          <t>Basement level: modelled AS DRAWN at FFL -3,300 (~3.27 m below GF FFL at the garage) - Tom had chosen "3.0 m" from a misread; the laundry door threshold is drawn 620 above the basement FFL (internal step) - confirm.</t>
        </is>
      </c>
    </row>
    <row r="45" ht="45" customHeight="1">
      <c r="A45" s="71" t="inlineStr">
        <is>
          <t>5.8</t>
        </is>
      </c>
      <c r="B45" s="75" t="inlineStr">
        <is>
          <t>Not modelled (items flagged, not measured): chimney / stove flue (lounge west wall), the 5 rooflights (east slope, Bill 7B.9 counted from the elevation), the basement pool hall / hall glazed screen, the basement stair, the basement garage nib (0.6 m).</t>
        </is>
      </c>
    </row>
    <row r="46" ht="30" customHeight="1">
      <c r="A46" s="71" t="inlineStr">
        <is>
          <t>5.9</t>
        </is>
      </c>
      <c r="B46" s="75" t="inlineStr">
        <is>
          <t>fbw_fit.json "glass_m2" for the raked screens under-reports the glass by about half (pane polygon vertex averaging in kb_windows.rb) - this BOQ re-measures from the head profiles (Schedule B lists both).</t>
        </is>
      </c>
    </row>
    <row r="48">
      <c r="A48" s="99" t="inlineStr">
        <is>
          <t>6  What IS in the Nudura price (Quotation ES26-084 Rev B, NET GBP 29,139.75)</t>
        </is>
      </c>
    </row>
    <row r="49" ht="30" customHeight="1">
      <c r="A49" s="71" t="inlineStr">
        <is>
          <t>6.1</t>
        </is>
      </c>
      <c r="B49" s="75" t="inlineStr">
        <is>
          <t>Nudura ICF kit as modelled in the BuildEase Design Suite: 588 forms modelled / 449 to order (P 51 / BL 258 / FB 17 / L1 262 modelled), materials GBP 24,872.37.</t>
        </is>
      </c>
    </row>
    <row r="50" ht="15" customHeight="1">
      <c r="A50" s="71" t="inlineStr">
        <is>
          <t>6.2</t>
        </is>
      </c>
      <c r="B50" s="75" t="inlineStr">
        <is>
          <t>Accessories: VJC clips, end caps, Form-Lock, T-form support straps, lintel closures, spray foam.</t>
        </is>
      </c>
    </row>
    <row r="51" ht="30" customHeight="1">
      <c r="A51" s="71" t="inlineStr">
        <is>
          <t>6.3</t>
        </is>
      </c>
      <c r="B51" s="75" t="inlineStr">
        <is>
          <t>BuildEase Pre-Cut Service GBP 1,702.62; alignment system 3 stillages x 6 weeks hire GBP 1,440.00; haulage 2 loads: 2 x artic @ 170.8 mi GBP 1,124.76.</t>
        </is>
      </c>
    </row>
    <row r="52" ht="15" customHeight="1">
      <c r="A52" s="71" t="inlineStr">
        <is>
          <t>6.4</t>
        </is>
      </c>
      <c r="B52" s="75" t="inlineStr">
        <is>
          <t>Nothing in Bills 1 to 9 of this finishes package is included in the Nudura price.</t>
        </is>
      </c>
    </row>
    <row r="54">
      <c r="A54" s="99" t="inlineStr">
        <is>
          <t>7  Pricing instructions to tenderers</t>
        </is>
      </c>
    </row>
    <row r="55" ht="45" customHeight="1">
      <c r="A55" s="71" t="inlineStr">
        <is>
          <t>7.1</t>
        </is>
      </c>
      <c r="B55" s="75" t="inlineStr">
        <is>
          <t>Each bill item has a SUPPLY rate and an INSTALL rate. Insert rates only in the pale-yellow cells of the Excel workbook: Supply = Site total qty x Supply rate; Install = Site total qty x Install rate; Line total = Supply + Install. Items measured as "item" are lump sums: the rate entered is the amount.</t>
        </is>
      </c>
    </row>
    <row r="56" ht="45" customHeight="1">
      <c r="A56" s="71" t="inlineStr">
        <is>
          <t>7.2</t>
        </is>
      </c>
      <c r="B56" s="75" t="inlineStr">
        <is>
          <t>Each bill ends with a Package Summary (section subtotals for Supply / Install / Total and the package total). The Cover carries the full overview: one row per bill, grand totals, optional Preliminaries, Overheads &amp; profit and Contingency percentages (pale-yellow cells; blank = 0) and the ICF package hook.</t>
        </is>
      </c>
    </row>
    <row r="57" ht="30" customHeight="1">
      <c r="A57" s="71" t="inlineStr">
        <is>
          <t>7.3</t>
        </is>
      </c>
      <c r="B57" s="75" t="inlineStr">
        <is>
          <t>All other cells are locked by sheet protection (no password - Review &gt; Unprotect Sheet if a change is genuinely needed) so formulas cannot be overwritten by accident.</t>
        </is>
      </c>
    </row>
    <row r="58" ht="30" customHeight="1">
      <c r="A58" s="71" t="inlineStr">
        <is>
          <t>7.4</t>
        </is>
      </c>
      <c r="B58" s="75" t="inlineStr">
        <is>
          <t>Re-measure and verify all quantities before pricing or ordering. State any qualification against the item in the Notes column.</t>
        </is>
      </c>
    </row>
    <row r="59" ht="30" customHeight="1">
      <c r="A59" s="71" t="inlineStr">
        <is>
          <t>7.5</t>
        </is>
      </c>
      <c r="B59" s="75" t="inlineStr">
        <is>
          <t>The Order guide figures and Schedules A to D are not measured bill items and must not be priced as such. All amounts exclude VAT.</t>
        </is>
      </c>
    </row>
  </sheetData>
  <sheetProtection selectLockedCells="0" selectUnlockedCells="0" sheet="1" objects="0" insertRows="1" insertHyperlinks="1" autoFilter="1" scenarios="0" formatColumns="0" deleteColumns="1" insertColumns="1" pivotTables="1" deleteRows="1" formatCells="1" formatRows="0" sort="1"/>
  <mergeCells count="8">
    <mergeCell ref="A4:B4"/>
    <mergeCell ref="A48:B48"/>
    <mergeCell ref="A16:B16"/>
    <mergeCell ref="A54:B54"/>
    <mergeCell ref="A37:B37"/>
    <mergeCell ref="A31:B31"/>
    <mergeCell ref="A6:B6"/>
    <mergeCell ref="A22:B22"/>
  </mergeCells>
  <printOptions horizontalCentered="1"/>
  <pageMargins left="0.75" right="0.75" top="0.7" bottom="0.75" header="0.5" footer="0.5"/>
  <pageSetup orientation="portrait"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F46"/>
  <sheetViews>
    <sheetView showGridLines="0" workbookViewId="0">
      <pane ySplit="6" topLeftCell="A7" activePane="bottomLeft" state="frozen"/>
      <selection pane="bottomLeft" activeCell="A1" sqref="A1"/>
    </sheetView>
  </sheetViews>
  <sheetFormatPr baseColWidth="8" defaultRowHeight="15"/>
  <cols>
    <col width="10" customWidth="1" min="1" max="1"/>
    <col width="10" customWidth="1" min="2" max="2"/>
    <col width="58" customWidth="1" min="3" max="3"/>
    <col width="16" customWidth="1" min="4" max="4"/>
    <col width="16" customWidth="1" min="5" max="5"/>
    <col width="16" customWidth="1" min="6" max="6"/>
  </cols>
  <sheetData>
    <row r="1" ht="22" customHeight="1">
      <c r="C1" s="70" t="inlineStr">
        <is>
          <t>Summary of Bills - section breakdown</t>
        </is>
      </c>
    </row>
    <row r="2" ht="18" customHeight="1">
      <c r="C2" s="71" t="inlineStr">
        <is>
          <t>ES26-084  |  Plot 1 Rivendell Park, Douglas  |  Mr K &amp; Mrs Burrell  -  amounts by others, excl. VAT</t>
        </is>
      </c>
    </row>
    <row r="3" ht="4" customHeight="1">
      <c r="A3" s="72" t="n"/>
      <c r="B3" s="72" t="n"/>
      <c r="C3" s="72" t="n"/>
      <c r="D3" s="72" t="n"/>
      <c r="E3" s="72" t="n"/>
      <c r="F3" s="72" t="n"/>
    </row>
    <row r="4" ht="84"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Bill</t>
        </is>
      </c>
      <c r="B6" s="79" t="inlineStr">
        <is>
          <t>Section</t>
        </is>
      </c>
      <c r="C6" s="79" t="inlineStr">
        <is>
          <t>Description</t>
        </is>
      </c>
      <c r="D6" s="79" t="inlineStr">
        <is>
          <t>Supply £</t>
        </is>
      </c>
      <c r="E6" s="79" t="inlineStr">
        <is>
          <t>Install £</t>
        </is>
      </c>
      <c r="F6" s="79" t="inlineStr">
        <is>
          <t>Total £</t>
        </is>
      </c>
    </row>
    <row r="7">
      <c r="A7" s="80" t="n">
        <v>1</v>
      </c>
      <c r="B7" s="80" t="inlineStr">
        <is>
          <t>1A</t>
        </is>
      </c>
      <c r="C7" s="80" t="inlineStr">
        <is>
          <t>External wall finish to the ICF (NRM2 15 / 21 - package EXT; system by others, SPEC TBC)</t>
        </is>
      </c>
      <c r="D7" s="81">
        <f>'Bill 1 External Finish'!K25</f>
        <v/>
      </c>
      <c r="E7" s="81">
        <f>'Bill 1 External Finish'!L25</f>
        <v/>
      </c>
      <c r="F7" s="81">
        <f>'Bill 1 External Finish'!M25</f>
        <v/>
      </c>
    </row>
    <row r="8">
      <c r="A8" s="80" t="n">
        <v>1</v>
      </c>
      <c r="B8" s="80" t="inlineStr">
        <is>
          <t>1B</t>
        </is>
      </c>
      <c r="C8" s="80" t="inlineStr">
        <is>
          <t>Coordination items (supply by others)</t>
        </is>
      </c>
      <c r="D8" s="81">
        <f>'Bill 1 External Finish'!K26</f>
        <v/>
      </c>
      <c r="E8" s="81">
        <f>'Bill 1 External Finish'!L26</f>
        <v/>
      </c>
      <c r="F8" s="81">
        <f>'Bill 1 External Finish'!M26</f>
        <v/>
      </c>
    </row>
    <row r="9">
      <c r="A9" s="100" t="inlineStr">
        <is>
          <t>Bill 1 - External Wall Finish to the ICF (render / cladding - spec TBC) (package EXT)</t>
        </is>
      </c>
      <c r="D9" s="83">
        <f>'Bill 1 External Finish'!K27</f>
        <v/>
      </c>
      <c r="E9" s="83">
        <f>'Bill 1 External Finish'!L27</f>
        <v/>
      </c>
      <c r="F9" s="83">
        <f>'Bill 1 External Finish'!M27</f>
        <v/>
      </c>
    </row>
    <row r="10">
      <c r="A10" s="80" t="n">
        <v>2</v>
      </c>
      <c r="B10" s="80" t="inlineStr">
        <is>
          <t>2A</t>
        </is>
      </c>
      <c r="C10" s="80" t="inlineStr">
        <is>
          <t>Wall linings (NRM2 28 / package DRY)</t>
        </is>
      </c>
      <c r="D10" s="81">
        <f>'Bill 2 Internal Linings'!K37</f>
        <v/>
      </c>
      <c r="E10" s="81">
        <f>'Bill 2 Internal Linings'!L37</f>
        <v/>
      </c>
      <c r="F10" s="81">
        <f>'Bill 2 Internal Linings'!M37</f>
        <v/>
      </c>
    </row>
    <row r="11">
      <c r="A11" s="80" t="n">
        <v>2</v>
      </c>
      <c r="B11" s="80" t="inlineStr">
        <is>
          <t>2B</t>
        </is>
      </c>
      <c r="C11" s="80" t="inlineStr">
        <is>
          <t>Ceilings (NRM2 28 / package DRY)</t>
        </is>
      </c>
      <c r="D11" s="81">
        <f>'Bill 2 Internal Linings'!K38</f>
        <v/>
      </c>
      <c r="E11" s="81">
        <f>'Bill 2 Internal Linings'!L38</f>
        <v/>
      </c>
      <c r="F11" s="81">
        <f>'Bill 2 Internal Linings'!M38</f>
        <v/>
      </c>
    </row>
    <row r="12">
      <c r="A12" s="80" t="n">
        <v>2</v>
      </c>
      <c r="B12" s="80" t="inlineStr">
        <is>
          <t>2C</t>
        </is>
      </c>
      <c r="C12" s="80" t="inlineStr">
        <is>
          <t>Jointing, beads and skim (NRM2 28 / package DRY)</t>
        </is>
      </c>
      <c r="D12" s="81">
        <f>'Bill 2 Internal Linings'!K39</f>
        <v/>
      </c>
      <c r="E12" s="81">
        <f>'Bill 2 Internal Linings'!L39</f>
        <v/>
      </c>
      <c r="F12" s="81">
        <f>'Bill 2 Internal Linings'!M39</f>
        <v/>
      </c>
    </row>
    <row r="13">
      <c r="A13" s="100" t="inlineStr">
        <is>
          <t>Bill 2 - Internal Linings - Walls, Vaulted Ceilings, Tape, Beads &amp; Skim (package DRY)</t>
        </is>
      </c>
      <c r="D13" s="83">
        <f>'Bill 2 Internal Linings'!K40</f>
        <v/>
      </c>
      <c r="E13" s="83">
        <f>'Bill 2 Internal Linings'!L40</f>
        <v/>
      </c>
      <c r="F13" s="83">
        <f>'Bill 2 Internal Linings'!M40</f>
        <v/>
      </c>
    </row>
    <row r="14">
      <c r="A14" s="80" t="n">
        <v>3</v>
      </c>
      <c r="B14" s="80" t="inlineStr">
        <is>
          <t>3A</t>
        </is>
      </c>
      <c r="C14" s="80" t="inlineStr">
        <is>
          <t>Internal doorsets (NRM2 24 / package JOI)</t>
        </is>
      </c>
      <c r="D14" s="81">
        <f>'Bill 3 Doors'!K27</f>
        <v/>
      </c>
      <c r="E14" s="81">
        <f>'Bill 3 Doors'!L27</f>
        <v/>
      </c>
      <c r="F14" s="81">
        <f>'Bill 3 Doors'!M27</f>
        <v/>
      </c>
    </row>
    <row r="15">
      <c r="A15" s="80" t="n">
        <v>3</v>
      </c>
      <c r="B15" s="80" t="inlineStr">
        <is>
          <t>3B</t>
        </is>
      </c>
      <c r="C15" s="80" t="inlineStr">
        <is>
          <t>Ironmongery (NRM2 24 / package JOI)</t>
        </is>
      </c>
      <c r="D15" s="81">
        <f>'Bill 3 Doors'!K28</f>
        <v/>
      </c>
      <c r="E15" s="81">
        <f>'Bill 3 Doors'!L28</f>
        <v/>
      </c>
      <c r="F15" s="81">
        <f>'Bill 3 Doors'!M28</f>
        <v/>
      </c>
    </row>
    <row r="16">
      <c r="A16" s="100" t="inlineStr">
        <is>
          <t>Bill 3 - Internal Doors &amp; Ironmongery (package JOI)</t>
        </is>
      </c>
      <c r="D16" s="83">
        <f>'Bill 3 Doors'!K29</f>
        <v/>
      </c>
      <c r="E16" s="83">
        <f>'Bill 3 Doors'!L29</f>
        <v/>
      </c>
      <c r="F16" s="83">
        <f>'Bill 3 Doors'!M29</f>
        <v/>
      </c>
    </row>
    <row r="17">
      <c r="A17" s="80" t="n">
        <v>4</v>
      </c>
      <c r="B17" s="80" t="inlineStr">
        <is>
          <t>4A</t>
        </is>
      </c>
      <c r="C17" s="80" t="inlineStr">
        <is>
          <t>Skirtings (NRM2 22 / package JOI)</t>
        </is>
      </c>
      <c r="D17" s="81">
        <f>'Bill 4 Joinery'!K27</f>
        <v/>
      </c>
      <c r="E17" s="81">
        <f>'Bill 4 Joinery'!L27</f>
        <v/>
      </c>
      <c r="F17" s="81">
        <f>'Bill 4 Joinery'!M27</f>
        <v/>
      </c>
    </row>
    <row r="18">
      <c r="A18" s="80" t="n">
        <v>4</v>
      </c>
      <c r="B18" s="80" t="inlineStr">
        <is>
          <t>4B</t>
        </is>
      </c>
      <c r="C18" s="80" t="inlineStr">
        <is>
          <t>Architraves (NRM2 22 / package JOI)</t>
        </is>
      </c>
      <c r="D18" s="81">
        <f>'Bill 4 Joinery'!K28</f>
        <v/>
      </c>
      <c r="E18" s="81">
        <f>'Bill 4 Joinery'!L28</f>
        <v/>
      </c>
      <c r="F18" s="81">
        <f>'Bill 4 Joinery'!M28</f>
        <v/>
      </c>
    </row>
    <row r="19">
      <c r="A19" s="80" t="n">
        <v>4</v>
      </c>
      <c r="B19" s="80" t="inlineStr">
        <is>
          <t>4C</t>
        </is>
      </c>
      <c r="C19" s="80" t="inlineStr">
        <is>
          <t>Window boards (NRM2 22 / package JOI)</t>
        </is>
      </c>
      <c r="D19" s="81">
        <f>'Bill 4 Joinery'!K29</f>
        <v/>
      </c>
      <c r="E19" s="81">
        <f>'Bill 4 Joinery'!L29</f>
        <v/>
      </c>
      <c r="F19" s="81">
        <f>'Bill 4 Joinery'!M29</f>
        <v/>
      </c>
    </row>
    <row r="20">
      <c r="A20" s="80" t="n">
        <v>4</v>
      </c>
      <c r="B20" s="80" t="inlineStr">
        <is>
          <t>4D</t>
        </is>
      </c>
      <c r="C20" s="80" t="inlineStr">
        <is>
          <t>Stairs and sundry joinery (NRM2 22 / package JOI)</t>
        </is>
      </c>
      <c r="D20" s="81">
        <f>'Bill 4 Joinery'!K30</f>
        <v/>
      </c>
      <c r="E20" s="81">
        <f>'Bill 4 Joinery'!L30</f>
        <v/>
      </c>
      <c r="F20" s="81">
        <f>'Bill 4 Joinery'!M30</f>
        <v/>
      </c>
    </row>
    <row r="21">
      <c r="A21" s="100" t="inlineStr">
        <is>
          <t>Bill 4 - Joinery - Skirtings, Architraves, Window Boards &amp; Stair (package JOI)</t>
        </is>
      </c>
      <c r="D21" s="83">
        <f>'Bill 4 Joinery'!K31</f>
        <v/>
      </c>
      <c r="E21" s="83">
        <f>'Bill 4 Joinery'!L31</f>
        <v/>
      </c>
      <c r="F21" s="83">
        <f>'Bill 4 Joinery'!M31</f>
        <v/>
      </c>
    </row>
    <row r="22">
      <c r="A22" s="80" t="n">
        <v>5</v>
      </c>
      <c r="B22" s="80" t="inlineStr">
        <is>
          <t>5A</t>
        </is>
      </c>
      <c r="C22" s="80" t="inlineStr">
        <is>
          <t>Timber stud partitions, non-loadbearing - framing (NRM2 16 / package JOI)</t>
        </is>
      </c>
      <c r="D22" s="81">
        <f>'Bill 5 Partitions'!K39</f>
        <v/>
      </c>
      <c r="E22" s="81">
        <f>'Bill 5 Partitions'!L39</f>
        <v/>
      </c>
      <c r="F22" s="81">
        <f>'Bill 5 Partitions'!M39</f>
        <v/>
      </c>
    </row>
    <row r="23">
      <c r="A23" s="80" t="n">
        <v>5</v>
      </c>
      <c r="B23" s="80" t="inlineStr">
        <is>
          <t>5B</t>
        </is>
      </c>
      <c r="C23" s="80" t="inlineStr">
        <is>
          <t>Partition timber - supply (NRM2 16 / package JOI)</t>
        </is>
      </c>
      <c r="D23" s="81">
        <f>'Bill 5 Partitions'!K40</f>
        <v/>
      </c>
      <c r="E23" s="81">
        <f>'Bill 5 Partitions'!L40</f>
        <v/>
      </c>
      <c r="F23" s="81">
        <f>'Bill 5 Partitions'!M40</f>
        <v/>
      </c>
    </row>
    <row r="24">
      <c r="A24" s="80" t="n">
        <v>5</v>
      </c>
      <c r="B24" s="80" t="inlineStr">
        <is>
          <t>5C</t>
        </is>
      </c>
      <c r="C24" s="80" t="inlineStr">
        <is>
          <t>Forming door openings in partitions (NRM2 16 / package JOI)</t>
        </is>
      </c>
      <c r="D24" s="81">
        <f>'Bill 5 Partitions'!K41</f>
        <v/>
      </c>
      <c r="E24" s="81">
        <f>'Bill 5 Partitions'!L41</f>
        <v/>
      </c>
      <c r="F24" s="81">
        <f>'Bill 5 Partitions'!M41</f>
        <v/>
      </c>
    </row>
    <row r="25">
      <c r="A25" s="80" t="n">
        <v>5</v>
      </c>
      <c r="B25" s="80" t="inlineStr">
        <is>
          <t>5D</t>
        </is>
      </c>
      <c r="C25" s="80" t="inlineStr">
        <is>
          <t>Head restraint, pattresses, acoustic and fixings (NRM2 16 / package JOI)</t>
        </is>
      </c>
      <c r="D25" s="81">
        <f>'Bill 5 Partitions'!K42</f>
        <v/>
      </c>
      <c r="E25" s="81">
        <f>'Bill 5 Partitions'!L42</f>
        <v/>
      </c>
      <c r="F25" s="81">
        <f>'Bill 5 Partitions'!M42</f>
        <v/>
      </c>
    </row>
    <row r="26">
      <c r="A26" s="100" t="inlineStr">
        <is>
          <t>Bill 5 - Timber Stud Partitions (TLSTF) - Framing, Openings, Head Restraint &amp; Fixings (package JOI)</t>
        </is>
      </c>
      <c r="D26" s="83">
        <f>'Bill 5 Partitions'!K43</f>
        <v/>
      </c>
      <c r="E26" s="83">
        <f>'Bill 5 Partitions'!L43</f>
        <v/>
      </c>
      <c r="F26" s="83">
        <f>'Bill 5 Partitions'!M43</f>
        <v/>
      </c>
    </row>
    <row r="27">
      <c r="A27" s="80" t="n">
        <v>6</v>
      </c>
      <c r="B27" s="80" t="inlineStr">
        <is>
          <t>6A</t>
        </is>
      </c>
      <c r="C27" s="80" t="inlineStr">
        <is>
          <t>RC base, raft and slabs (NRM2 11 - package RCF; by others - engineer; coordination quantities)</t>
        </is>
      </c>
      <c r="D27" s="81">
        <f>'Bill 6 Slabs'!K30</f>
        <v/>
      </c>
      <c r="E27" s="81">
        <f>'Bill 6 Slabs'!L30</f>
        <v/>
      </c>
      <c r="F27" s="81">
        <f>'Bill 6 Slabs'!M30</f>
        <v/>
      </c>
    </row>
    <row r="28">
      <c r="A28" s="80" t="n">
        <v>6</v>
      </c>
      <c r="B28" s="80" t="inlineStr">
        <is>
          <t>6B</t>
        </is>
      </c>
      <c r="C28" s="80" t="inlineStr">
        <is>
          <t>Floor build-ups (NRM2 11 / 28 - package FLR; by others)</t>
        </is>
      </c>
      <c r="D28" s="81">
        <f>'Bill 6 Slabs'!K31</f>
        <v/>
      </c>
      <c r="E28" s="81">
        <f>'Bill 6 Slabs'!L31</f>
        <v/>
      </c>
      <c r="F28" s="81">
        <f>'Bill 6 Slabs'!M31</f>
        <v/>
      </c>
    </row>
    <row r="29">
      <c r="A29" s="80" t="n">
        <v>6</v>
      </c>
      <c r="B29" s="80" t="inlineStr">
        <is>
          <t>6C</t>
        </is>
      </c>
      <c r="C29" s="80" t="inlineStr">
        <is>
          <t>Coordination</t>
        </is>
      </c>
      <c r="D29" s="81">
        <f>'Bill 6 Slabs'!K32</f>
        <v/>
      </c>
      <c r="E29" s="81">
        <f>'Bill 6 Slabs'!L32</f>
        <v/>
      </c>
      <c r="F29" s="81">
        <f>'Bill 6 Slabs'!M32</f>
        <v/>
      </c>
    </row>
    <row r="30">
      <c r="A30" s="100" t="inlineStr">
        <is>
          <t>Bill 6 - Substructure &amp; Slabs - Pool Base, Raft, GF Slab, Floor Build-ups (coordination) (package RCF / FLR)</t>
        </is>
      </c>
      <c r="D30" s="83">
        <f>'Bill 6 Slabs'!K33</f>
        <v/>
      </c>
      <c r="E30" s="83">
        <f>'Bill 6 Slabs'!L33</f>
        <v/>
      </c>
      <c r="F30" s="83">
        <f>'Bill 6 Slabs'!M33</f>
        <v/>
      </c>
    </row>
    <row r="31">
      <c r="A31" s="80" t="n">
        <v>7</v>
      </c>
      <c r="B31" s="80" t="inlineStr">
        <is>
          <t>7A</t>
        </is>
      </c>
      <c r="C31" s="80" t="inlineStr">
        <is>
          <t>Roof structure - vaulted cut roof (NRM2 16 - package RFS; roof designer / engineer)</t>
        </is>
      </c>
      <c r="D31" s="81">
        <f>'Bill 7 Roof'!K46</f>
        <v/>
      </c>
      <c r="E31" s="81">
        <f>'Bill 7 Roof'!L46</f>
        <v/>
      </c>
      <c r="F31" s="81">
        <f>'Bill 7 Roof'!M46</f>
        <v/>
      </c>
    </row>
    <row r="32">
      <c r="A32" s="80" t="n">
        <v>7</v>
      </c>
      <c r="B32" s="80" t="inlineStr">
        <is>
          <t>7B</t>
        </is>
      </c>
      <c r="C32" s="80" t="inlineStr">
        <is>
          <t>Roof covering, eaves, verges and rainwater (NRM2 18 / 33 - package RFC)</t>
        </is>
      </c>
      <c r="D32" s="81">
        <f>'Bill 7 Roof'!K47</f>
        <v/>
      </c>
      <c r="E32" s="81">
        <f>'Bill 7 Roof'!L47</f>
        <v/>
      </c>
      <c r="F32" s="81">
        <f>'Bill 7 Roof'!M47</f>
        <v/>
      </c>
    </row>
    <row r="33">
      <c r="A33" s="80" t="n">
        <v>7</v>
      </c>
      <c r="B33" s="80" t="inlineStr">
        <is>
          <t>7C</t>
        </is>
      </c>
      <c r="C33" s="80" t="inlineStr">
        <is>
          <t>Roof insulation, VCL and soffits (NRM2 18 / 28 - package RFC)</t>
        </is>
      </c>
      <c r="D33" s="81">
        <f>'Bill 7 Roof'!K48</f>
        <v/>
      </c>
      <c r="E33" s="81">
        <f>'Bill 7 Roof'!L48</f>
        <v/>
      </c>
      <c r="F33" s="81">
        <f>'Bill 7 Roof'!M48</f>
        <v/>
      </c>
    </row>
    <row r="34">
      <c r="A34" s="100" t="inlineStr">
        <is>
          <t>Bill 7 - Vaulted Roof - Structure, Covering, Rainwater &amp; Insulation (package RFS / RFC)</t>
        </is>
      </c>
      <c r="D34" s="83">
        <f>'Bill 7 Roof'!K49</f>
        <v/>
      </c>
      <c r="E34" s="83">
        <f>'Bill 7 Roof'!L49</f>
        <v/>
      </c>
      <c r="F34" s="83">
        <f>'Bill 7 Roof'!M49</f>
        <v/>
      </c>
    </row>
    <row r="35">
      <c r="A35" s="80" t="n">
        <v>8</v>
      </c>
      <c r="B35" s="80" t="inlineStr">
        <is>
          <t>8A</t>
        </is>
      </c>
      <c r="C35" s="80" t="inlineStr">
        <is>
          <t>Windows - UPVC casements (NRM2 25 - package WIN; window supplier)</t>
        </is>
      </c>
      <c r="D35" s="81">
        <f>'Bill 8 Glazing'!K39</f>
        <v/>
      </c>
      <c r="E35" s="81">
        <f>'Bill 8 Glazing'!L39</f>
        <v/>
      </c>
      <c r="F35" s="81">
        <f>'Bill 8 Glazing'!M39</f>
        <v/>
      </c>
    </row>
    <row r="36">
      <c r="A36" s="80" t="n">
        <v>8</v>
      </c>
      <c r="B36" s="80" t="inlineStr">
        <is>
          <t>8B</t>
        </is>
      </c>
      <c r="C36" s="80" t="inlineStr">
        <is>
          <t>External doors (NRM2 25 - package WIN)</t>
        </is>
      </c>
      <c r="D36" s="81">
        <f>'Bill 8 Glazing'!K40</f>
        <v/>
      </c>
      <c r="E36" s="81">
        <f>'Bill 8 Glazing'!L40</f>
        <v/>
      </c>
      <c r="F36" s="81">
        <f>'Bill 8 Glazing'!M40</f>
        <v/>
      </c>
    </row>
    <row r="37">
      <c r="A37" s="80" t="n">
        <v>8</v>
      </c>
      <c r="B37" s="80" t="inlineStr">
        <is>
          <t>8C</t>
        </is>
      </c>
      <c r="C37" s="80" t="inlineStr">
        <is>
          <t>Glazed screens - stair (NRM2 25 - package WIN)</t>
        </is>
      </c>
      <c r="D37" s="81">
        <f>'Bill 8 Glazing'!K41</f>
        <v/>
      </c>
      <c r="E37" s="81">
        <f>'Bill 8 Glazing'!L41</f>
        <v/>
      </c>
      <c r="F37" s="81">
        <f>'Bill 8 Glazing'!M41</f>
        <v/>
      </c>
    </row>
    <row r="38">
      <c r="A38" s="80" t="n">
        <v>8</v>
      </c>
      <c r="B38" s="80" t="inlineStr">
        <is>
          <t>8D</t>
        </is>
      </c>
      <c r="C38" s="80" t="inlineStr">
        <is>
          <t>Raked feature glazing screens to the vaulted roof / glazed gables (NRM2 25 - package GLZ; GLAZING SPECIALIST)</t>
        </is>
      </c>
      <c r="D38" s="81">
        <f>'Bill 8 Glazing'!K42</f>
        <v/>
      </c>
      <c r="E38" s="81">
        <f>'Bill 8 Glazing'!L42</f>
        <v/>
      </c>
      <c r="F38" s="81">
        <f>'Bill 8 Glazing'!M42</f>
        <v/>
      </c>
    </row>
    <row r="39">
      <c r="A39" s="80" t="n">
        <v>8</v>
      </c>
      <c r="B39" s="80" t="inlineStr">
        <is>
          <t>8E</t>
        </is>
      </c>
      <c r="C39" s="80" t="inlineStr">
        <is>
          <t>Guarding, garage door and items not modelled (PROVISIONAL)</t>
        </is>
      </c>
      <c r="D39" s="81">
        <f>'Bill 8 Glazing'!K43</f>
        <v/>
      </c>
      <c r="E39" s="81">
        <f>'Bill 8 Glazing'!L43</f>
        <v/>
      </c>
      <c r="F39" s="81">
        <f>'Bill 8 Glazing'!M43</f>
        <v/>
      </c>
    </row>
    <row r="40">
      <c r="A40" s="100" t="inlineStr">
        <is>
          <t>Bill 8 - Glazing, External Doors, Raked Feature Screens &amp; Garage Door (package WIN / GLZ)</t>
        </is>
      </c>
      <c r="D40" s="83">
        <f>'Bill 8 Glazing'!K44</f>
        <v/>
      </c>
      <c r="E40" s="83">
        <f>'Bill 8 Glazing'!L44</f>
        <v/>
      </c>
      <c r="F40" s="83">
        <f>'Bill 8 Glazing'!M44</f>
        <v/>
      </c>
    </row>
    <row r="41">
      <c r="A41" s="80" t="n">
        <v>9</v>
      </c>
      <c r="B41" s="80" t="inlineStr">
        <is>
          <t>9A</t>
        </is>
      </c>
      <c r="C41" s="80" t="inlineStr">
        <is>
          <t>BS 8102:2022 waterproofing - PROVISIONAL (NRM2 17 - package WPF; SPECIALIST WATERPROOFING DESIGNER)</t>
        </is>
      </c>
      <c r="D41" s="81">
        <f>'Bill 9 Waterproofing Pool'!K29</f>
        <v/>
      </c>
      <c r="E41" s="81">
        <f>'Bill 9 Waterproofing Pool'!L29</f>
        <v/>
      </c>
      <c r="F41" s="81">
        <f>'Bill 9 Waterproofing Pool'!M29</f>
        <v/>
      </c>
    </row>
    <row r="42">
      <c r="A42" s="80" t="n">
        <v>9</v>
      </c>
      <c r="B42" s="80" t="inlineStr">
        <is>
          <t>9B</t>
        </is>
      </c>
      <c r="C42" s="80" t="inlineStr">
        <is>
          <t>ICF pool tank (NRM2 - package POOL; POOL SPECIALIST - PROVISIONAL)</t>
        </is>
      </c>
      <c r="D42" s="81">
        <f>'Bill 9 Waterproofing Pool'!K30</f>
        <v/>
      </c>
      <c r="E42" s="81">
        <f>'Bill 9 Waterproofing Pool'!L30</f>
        <v/>
      </c>
      <c r="F42" s="81">
        <f>'Bill 9 Waterproofing Pool'!M30</f>
        <v/>
      </c>
    </row>
    <row r="43">
      <c r="A43" s="100" t="inlineStr">
        <is>
          <t>Bill 9 - Basement Waterproofing (BS 8102) &amp; ICF Pool Tank - PROVISIONAL (package WPF / POOL)</t>
        </is>
      </c>
      <c r="D43" s="83">
        <f>'Bill 9 Waterproofing Pool'!K31</f>
        <v/>
      </c>
      <c r="E43" s="83">
        <f>'Bill 9 Waterproofing Pool'!L31</f>
        <v/>
      </c>
      <c r="F43" s="83">
        <f>'Bill 9 Waterproofing Pool'!M31</f>
        <v/>
      </c>
    </row>
    <row r="44">
      <c r="A44" s="101" t="inlineStr">
        <is>
          <t>TOTAL - finishes / ancillary trades, net (agrees with the Cover overview)</t>
        </is>
      </c>
      <c r="D44" s="83">
        <f>D9+D13+D16+D21+D26+D30+D34+D40+D43</f>
        <v/>
      </c>
      <c r="E44" s="83">
        <f>E9+E13+E16+E21+E26+E30+E34+E40+E43</f>
        <v/>
      </c>
      <c r="F44" s="83">
        <f>F9+F13+F16+F21+F26+F30+F34+F40+F43</f>
        <v/>
      </c>
    </row>
    <row r="46" ht="26" customHeight="1">
      <c r="A46" s="102" t="inlineStr">
        <is>
          <t>Schedules A to D are reference schedules and are not priced. Preliminaries, overheads &amp; profit, contingency and the ICF package (BuildEase BOQ Builder) are applied on the Cover.</t>
        </is>
      </c>
    </row>
  </sheetData>
  <sheetProtection selectLockedCells="0" selectUnlockedCells="0" sheet="1" objects="0" insertRows="1" insertHyperlinks="1" autoFilter="1" scenarios="0" formatColumns="0" deleteColumns="1" insertColumns="1" pivotTables="1" deleteRows="1" formatCells="1" formatRows="0" sort="1"/>
  <mergeCells count="14">
    <mergeCell ref="A13:C13"/>
    <mergeCell ref="A44:C44"/>
    <mergeCell ref="A46:F46"/>
    <mergeCell ref="A43:C43"/>
    <mergeCell ref="A40:C40"/>
    <mergeCell ref="A9:C9"/>
    <mergeCell ref="C1:F1"/>
    <mergeCell ref="A21:C21"/>
    <mergeCell ref="A4:F4"/>
    <mergeCell ref="A30:C30"/>
    <mergeCell ref="A34:C34"/>
    <mergeCell ref="C2:F2"/>
    <mergeCell ref="A26:C26"/>
    <mergeCell ref="A16:C16"/>
  </mergeCells>
  <printOptions horizontalCentered="1"/>
  <pageMargins left="0.75" right="0.75" top="0.7" bottom="0.75" header="0.5" footer="0.5"/>
  <pageSetup orientation="portrait"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N28"/>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1 - External Wall Finish to the ICF (render / cladding - spec TBC)</t>
        </is>
      </c>
    </row>
    <row r="2" ht="26" customHeight="1">
      <c r="C2" s="103" t="inlineStr">
        <is>
          <t>External finish to the ICF EPS faces of the GF walls and the exposed basement / footing faces, with beads, trims and coordination items (system by others, spec TBC).  [NRM2 15 / 21 / package EXT]</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1A  External wall finish to the ICF (NRM2 15 / 21 - package EXT; system by others, SPEC TBC)</t>
        </is>
      </c>
    </row>
    <row r="9" ht="52" customHeight="1">
      <c r="B9" s="108" t="inlineStr">
        <is>
          <t>The Foote McBride elevations show the walls plain (no hatch / material key on the renders read) and the roof hatched as slate / tile: the external wall finish is measured generically as "external finish to the ICF EPS face - render or cladding system, spec TBC (by others)". Areas are the modelled ICF outer EPS faces (Report Tool component export, openings and glazing gaps already net): GF from FFL to the eaves plate (2,286) and up the raked gables; below FFL the exposed basement / footing faces down to finished ground, scaled off the elevation renders (+-150 mm; the faces and depths are listed in Schedule A). Where the ground is at DPC (rear, terrace) a 150 mm band is included.</t>
        </is>
      </c>
    </row>
    <row r="10" ht="52" customHeight="1">
      <c r="A10" s="80" t="inlineStr">
        <is>
          <t>1A.1</t>
        </is>
      </c>
      <c r="B10" s="80" t="inlineStr">
        <is>
          <t>External finish to the ICF EPS face, GF walls incl. the raked gables (FFL to the plate / gable rake), net of openings: render or cladding system, spec TBC (base coat + mesh + finish, or battens + cladding) - by others</t>
        </is>
      </c>
      <c r="C10" s="80" t="inlineStr">
        <is>
          <t>m2</t>
        </is>
      </c>
      <c r="D10" s="109" t="n"/>
      <c r="E10" s="109" t="n"/>
      <c r="F10" s="109" t="n"/>
      <c r="G10" s="109" t="n">
        <v>161.985</v>
      </c>
      <c r="H10" s="95">
        <f>SUMPRODUCT($D$7:$G$7,D10:G10)</f>
        <v/>
      </c>
      <c r="I10" s="110" t="n"/>
      <c r="J10" s="110" t="n"/>
      <c r="K10" s="81">
        <f>N(H10)*N(I10)</f>
        <v/>
      </c>
      <c r="L10" s="81">
        <f>N(H10)*N(J10)</f>
        <v/>
      </c>
      <c r="M10" s="92">
        <f>K10+L10</f>
        <v/>
      </c>
      <c r="N10" s="111" t="inlineStr">
        <is>
          <t>Order guide +10% = 178.2; GF outer faces 165.9 less the hall stub 3.9 (interior)</t>
        </is>
      </c>
    </row>
    <row r="11" ht="52" customHeight="1">
      <c r="A11" s="80" t="inlineStr">
        <is>
          <t>1A.2</t>
        </is>
      </c>
      <c r="B11" s="80" t="inlineStr">
        <is>
          <t>Ditto, exposed basement / master-suite footing faces below FFL to finished ground (garage front + apron, west, east, wing front; DPC band at the rear), net of the basement openings - PROVISIONAL</t>
        </is>
      </c>
      <c r="C11" s="80" t="inlineStr">
        <is>
          <t>m2</t>
        </is>
      </c>
      <c r="D11" s="109" t="n"/>
      <c r="E11" s="109" t="n">
        <v>72.759</v>
      </c>
      <c r="F11" s="109" t="n">
        <v>4.611</v>
      </c>
      <c r="G11" s="109" t="n"/>
      <c r="H11" s="95">
        <f>SUMPRODUCT($D$7:$G$7,D11:G11)</f>
        <v/>
      </c>
      <c r="I11" s="110" t="n"/>
      <c r="J11" s="110" t="n"/>
      <c r="K11" s="81">
        <f>N(H11)*N(I11)</f>
        <v/>
      </c>
      <c r="L11" s="81">
        <f>N(H11)*N(J11)</f>
        <v/>
      </c>
      <c r="M11" s="92">
        <f>K11+L11</f>
        <v/>
      </c>
      <c r="N11" s="111" t="inlineStr">
        <is>
          <t>Ground lines scaled off the elevations (Schedule A); BL gross 90.1 less openings 17.4. Re-measure on the finished levels</t>
        </is>
      </c>
    </row>
    <row r="12" ht="39" customHeight="1">
      <c r="A12" s="80" t="inlineStr">
        <is>
          <t>1A.3</t>
        </is>
      </c>
      <c r="B12" s="80" t="inlineStr">
        <is>
          <t>Reveal returns at windows / doors in the ICF (head + jambs; frames tight to the back of the outer EPS): girth 102 GF / 67 basement</t>
        </is>
      </c>
      <c r="C12" s="80" t="inlineStr">
        <is>
          <t>m2</t>
        </is>
      </c>
      <c r="D12" s="109" t="n"/>
      <c r="E12" s="109" t="n">
        <v>1.477</v>
      </c>
      <c r="F12" s="109" t="n"/>
      <c r="G12" s="109" t="n">
        <v>5.231</v>
      </c>
      <c r="H12" s="95">
        <f>SUMPRODUCT($D$7:$G$7,D12:G12)</f>
        <v/>
      </c>
      <c r="I12" s="110" t="n"/>
      <c r="J12" s="110" t="n"/>
      <c r="K12" s="81">
        <f>N(H12)*N(I12)</f>
        <v/>
      </c>
      <c r="L12" s="81">
        <f>N(H12)*N(J12)</f>
        <v/>
      </c>
      <c r="M12" s="92">
        <f>K12+L12</f>
        <v/>
      </c>
      <c r="N12" s="111" t="inlineStr">
        <is>
          <t>Order guide +10% = 7.4; GF windows are floor-length (no sill reveal)</t>
        </is>
      </c>
    </row>
    <row r="13" ht="39" customHeight="1">
      <c r="A13" s="80" t="inlineStr">
        <is>
          <t>1A.4</t>
        </is>
      </c>
      <c r="B13" s="80" t="inlineStr">
        <is>
          <t>Returns at the ICF wall ends beside the glazed screens and glazing gaps (jamb returns ~102 girth), incl. stop / edge bead</t>
        </is>
      </c>
      <c r="C13" s="80" t="inlineStr">
        <is>
          <t>m</t>
        </is>
      </c>
      <c r="D13" s="109" t="n"/>
      <c r="E13" s="109" t="n">
        <v>11.172</v>
      </c>
      <c r="F13" s="109" t="n"/>
      <c r="G13" s="109" t="n">
        <v>30.835</v>
      </c>
      <c r="H13" s="95">
        <f>SUMPRODUCT($D$7:$G$7,D13:G13)</f>
        <v/>
      </c>
      <c r="I13" s="110" t="n"/>
      <c r="J13" s="110" t="n"/>
      <c r="K13" s="81">
        <f>N(H13)*N(I13)</f>
        <v/>
      </c>
      <c r="L13" s="81">
        <f>N(H13)*N(J13)</f>
        <v/>
      </c>
      <c r="M13" s="92">
        <f>K13+L13</f>
        <v/>
      </c>
      <c r="N13" s="111" t="inlineStr">
        <is>
          <t>Screens G01, G02 / G02R, G03a / b, G05, BL-G04 (Schedule B); G03a / G03b meet at a glazed corner</t>
        </is>
      </c>
    </row>
    <row r="14" ht="39" customHeight="1">
      <c r="A14" s="80" t="inlineStr">
        <is>
          <t>1A.5</t>
        </is>
      </c>
      <c r="B14" s="80" t="inlineStr">
        <is>
          <t>External corner bead / angle to the vertical external corners (GF to the plate / gable; basement / footing corners to ground)</t>
        </is>
      </c>
      <c r="C14" s="80" t="inlineStr">
        <is>
          <t>m</t>
        </is>
      </c>
      <c r="D14" s="109" t="n"/>
      <c r="E14" s="109" t="n">
        <v>6.664</v>
      </c>
      <c r="F14" s="109" t="n">
        <v>0.365</v>
      </c>
      <c r="G14" s="109" t="n">
        <v>16.916</v>
      </c>
      <c r="H14" s="95">
        <f>SUMPRODUCT($D$7:$G$7,D14:G14)</f>
        <v/>
      </c>
      <c r="I14" s="110" t="n"/>
      <c r="J14" s="110" t="n"/>
      <c r="K14" s="81">
        <f>N(H14)*N(I14)</f>
        <v/>
      </c>
      <c r="L14" s="81">
        <f>N(H14)*N(J14)</f>
        <v/>
      </c>
      <c r="M14" s="92">
        <f>K14+L14</f>
        <v/>
      </c>
      <c r="N14" s="111" t="inlineStr">
        <is>
          <t>Order guide +10% = 26.3</t>
        </is>
      </c>
    </row>
    <row r="15" ht="39" customHeight="1">
      <c r="A15" s="80" t="inlineStr">
        <is>
          <t>1A.6</t>
        </is>
      </c>
      <c r="B15" s="80" t="inlineStr">
        <is>
          <t>Base / starter track (bellcast bead, drip) at finished ground or DPC level, incl. below-ground termination of the finish</t>
        </is>
      </c>
      <c r="C15" s="80" t="inlineStr">
        <is>
          <t>m</t>
        </is>
      </c>
      <c r="D15" s="109" t="n"/>
      <c r="E15" s="109" t="n">
        <v>45.786</v>
      </c>
      <c r="F15" s="109" t="n">
        <v>14.811</v>
      </c>
      <c r="G15" s="109" t="n"/>
      <c r="H15" s="95">
        <f>SUMPRODUCT($D$7:$G$7,D15:G15)</f>
        <v/>
      </c>
      <c r="I15" s="110" t="n"/>
      <c r="J15" s="110" t="n"/>
      <c r="K15" s="81">
        <f>N(H15)*N(I15)</f>
        <v/>
      </c>
      <c r="L15" s="81">
        <f>N(H15)*N(J15)</f>
        <v/>
      </c>
      <c r="M15" s="92">
        <f>K15+L15</f>
        <v/>
      </c>
      <c r="N15" s="111" t="inlineStr">
        <is>
          <t>Order guide +10% = 66.7; door thresholds deducted (garage door, laundry door)</t>
        </is>
      </c>
    </row>
    <row r="16" ht="26" customHeight="1">
      <c r="A16" s="80" t="inlineStr">
        <is>
          <t>1A.7</t>
        </is>
      </c>
      <c r="B16" s="80" t="inlineStr">
        <is>
          <t>Head stop / closure bead at the eaves soffit (eaves walls) and along the gable verge rakes</t>
        </is>
      </c>
      <c r="C16" s="80" t="inlineStr">
        <is>
          <t>m</t>
        </is>
      </c>
      <c r="D16" s="109" t="n"/>
      <c r="E16" s="109" t="n"/>
      <c r="F16" s="109" t="n"/>
      <c r="G16" s="109" t="n">
        <v>66.684</v>
      </c>
      <c r="H16" s="95">
        <f>SUMPRODUCT($D$7:$G$7,D16:G16)</f>
        <v/>
      </c>
      <c r="I16" s="110" t="n"/>
      <c r="J16" s="110" t="n"/>
      <c r="K16" s="81">
        <f>N(H16)*N(I16)</f>
        <v/>
      </c>
      <c r="L16" s="81">
        <f>N(H16)*N(J16)</f>
        <v/>
      </c>
      <c r="M16" s="92">
        <f>K16+L16</f>
        <v/>
      </c>
      <c r="N16" s="111" t="inlineStr">
        <is>
          <t>Eaves walls 38.8 + gable rakes 27.9; Order guide +10% = 73.4</t>
        </is>
      </c>
    </row>
    <row r="17" ht="39" customHeight="1">
      <c r="A17" s="80" t="inlineStr">
        <is>
          <t>1A.8</t>
        </is>
      </c>
      <c r="B17" s="80" t="inlineStr">
        <is>
          <t>Movement / sealant joint between the finish and the window, door and screen frames (backer rod + low-modulus sealant)</t>
        </is>
      </c>
      <c r="C17" s="80" t="inlineStr">
        <is>
          <t>m</t>
        </is>
      </c>
      <c r="D17" s="109" t="n"/>
      <c r="E17" s="109" t="n">
        <v>33.283</v>
      </c>
      <c r="F17" s="109" t="n"/>
      <c r="G17" s="109" t="n">
        <v>82.22</v>
      </c>
      <c r="H17" s="95">
        <f>SUMPRODUCT($D$7:$G$7,D17:G17)</f>
        <v/>
      </c>
      <c r="I17" s="110" t="n"/>
      <c r="J17" s="110" t="n"/>
      <c r="K17" s="81">
        <f>N(H17)*N(I17)</f>
        <v/>
      </c>
      <c r="L17" s="81">
        <f>N(H17)*N(J17)</f>
        <v/>
      </c>
      <c r="M17" s="92">
        <f>K17+L17</f>
        <v/>
      </c>
      <c r="N17" s="111" t="inlineStr">
        <is>
          <t>Order guide +10% = 127.1</t>
        </is>
      </c>
    </row>
    <row r="18">
      <c r="A18" s="100" t="inlineStr">
        <is>
          <t>1B  Coordination items (supply by others)</t>
        </is>
      </c>
    </row>
    <row r="19" ht="39" customHeight="1">
      <c r="A19" s="80" t="inlineStr">
        <is>
          <t>1B.1</t>
        </is>
      </c>
      <c r="B19" s="80" t="inlineStr">
        <is>
          <t>External cills / thresholds at the structural openings (GF: floor-length windows + bi-folds = thresholds; basement: pool windows + laundry door)</t>
        </is>
      </c>
      <c r="C19" s="80" t="inlineStr">
        <is>
          <t>m</t>
        </is>
      </c>
      <c r="D19" s="109" t="n"/>
      <c r="E19" s="109" t="n">
        <v>9.675000000000001</v>
      </c>
      <c r="F19" s="109" t="n"/>
      <c r="G19" s="109" t="n">
        <v>14.035</v>
      </c>
      <c r="H19" s="95">
        <f>SUMPRODUCT($D$7:$G$7,D19:G19)</f>
        <v/>
      </c>
      <c r="I19" s="110" t="n"/>
      <c r="J19" s="110" t="n"/>
      <c r="K19" s="81">
        <f>N(H19)*N(I19)</f>
        <v/>
      </c>
      <c r="L19" s="81">
        <f>N(H19)*N(J19)</f>
        <v/>
      </c>
      <c r="M19" s="92">
        <f>K19+L19</f>
        <v/>
      </c>
      <c r="N19" s="111" t="inlineStr">
        <is>
          <t>By the window / door supplier - coordination only</t>
        </is>
      </c>
    </row>
    <row r="20" ht="39" customHeight="1">
      <c r="A20" s="80" t="inlineStr">
        <is>
          <t>1B.2</t>
        </is>
      </c>
      <c r="B20" s="80" t="inlineStr">
        <is>
          <t>Chimney / stove flue on the lounge west wall (drawn on the elevations, NOT modelled): finish, flashings and flue by others</t>
        </is>
      </c>
      <c r="C20" s="80" t="inlineStr">
        <is>
          <t>item</t>
        </is>
      </c>
      <c r="D20" s="109" t="n"/>
      <c r="E20" s="109" t="n"/>
      <c r="F20" s="109" t="n"/>
      <c r="G20" s="109" t="n"/>
      <c r="H20" s="95" t="n"/>
      <c r="I20" s="110" t="n"/>
      <c r="J20" s="110" t="n"/>
      <c r="K20" s="81">
        <f>IF(ISNUMBER(H20),H20,1)*N(I20)</f>
        <v/>
      </c>
      <c r="L20" s="81">
        <f>IF(ISNUMBER(H20),H20,1)*N(J20)</f>
        <v/>
      </c>
      <c r="M20" s="92">
        <f>K20+L20</f>
        <v/>
      </c>
      <c r="N20" s="111" t="inlineStr">
        <is>
          <t>Lump sum - the rate entered is the amount. Not measured - chimney not in the model</t>
        </is>
      </c>
    </row>
    <row r="21" ht="39" customHeight="1">
      <c r="A21" s="80" t="inlineStr">
        <is>
          <t>1B.3</t>
        </is>
      </c>
      <c r="B21" s="80" t="inlineStr">
        <is>
          <t>Basement rear retaining wall running on 1.5 m past the house (x 15,076-16,744): exposed face finish / backfill by the groundworker</t>
        </is>
      </c>
      <c r="C21" s="80" t="inlineStr">
        <is>
          <t>item</t>
        </is>
      </c>
      <c r="D21" s="109" t="n"/>
      <c r="E21" s="109" t="n"/>
      <c r="F21" s="109" t="n"/>
      <c r="G21" s="109" t="n"/>
      <c r="H21" s="95" t="n"/>
      <c r="I21" s="110" t="n"/>
      <c r="J21" s="110" t="n"/>
      <c r="K21" s="81">
        <f>IF(ISNUMBER(H21),H21,1)*N(I21)</f>
        <v/>
      </c>
      <c r="L21" s="81">
        <f>IF(ISNUMBER(H21),H21,1)*N(J21)</f>
        <v/>
      </c>
      <c r="M21" s="92">
        <f>K21+L21</f>
        <v/>
      </c>
      <c r="N21" s="111" t="inlineStr">
        <is>
          <t>Lump sum - the rate entered is the amount. Exposure not shown on the elevations - not measured</t>
        </is>
      </c>
    </row>
    <row r="23" ht="20" customHeight="1">
      <c r="A23" s="91" t="inlineStr">
        <is>
          <t>PACKAGE SUMMARY  -  Bill 1  External Wall Finish to the ICF (render / cladding - spec TBC)  (package EXT; amounts by others, excl. VAT)</t>
        </is>
      </c>
    </row>
    <row r="24" ht="30" customHeight="1">
      <c r="A24" s="79" t="inlineStr">
        <is>
          <t>Section</t>
        </is>
      </c>
      <c r="B24" s="79" t="inlineStr">
        <is>
          <t>Description</t>
        </is>
      </c>
      <c r="C24" s="97" t="n"/>
      <c r="D24" s="97" t="n"/>
      <c r="E24" s="97" t="n"/>
      <c r="F24" s="97" t="n"/>
      <c r="G24" s="97" t="n"/>
      <c r="H24" s="97" t="n"/>
      <c r="I24" s="97" t="n"/>
      <c r="J24" s="98" t="n"/>
      <c r="K24" s="79" t="inlineStr">
        <is>
          <t>Supply
£</t>
        </is>
      </c>
      <c r="L24" s="79" t="inlineStr">
        <is>
          <t>Install
£</t>
        </is>
      </c>
      <c r="M24" s="79" t="inlineStr">
        <is>
          <t>Total
£</t>
        </is>
      </c>
      <c r="N24" s="79" t="inlineStr"/>
    </row>
    <row r="25" ht="16" customHeight="1">
      <c r="A25" s="112" t="inlineStr">
        <is>
          <t>1A</t>
        </is>
      </c>
      <c r="B25" s="80" t="inlineStr">
        <is>
          <t>External wall finish to the ICF (NRM2 15 / 21 - package EXT; system by others, SPEC TBC)</t>
        </is>
      </c>
      <c r="C25" s="86" t="n"/>
      <c r="D25" s="86" t="n"/>
      <c r="E25" s="86" t="n"/>
      <c r="F25" s="86" t="n"/>
      <c r="G25" s="86" t="n"/>
      <c r="H25" s="86" t="n"/>
      <c r="I25" s="86" t="n"/>
      <c r="J25" s="86" t="n"/>
      <c r="K25" s="81">
        <f>SUM(K9:K17)</f>
        <v/>
      </c>
      <c r="L25" s="81">
        <f>SUM(L9:L17)</f>
        <v/>
      </c>
      <c r="M25" s="92">
        <f>SUM(M9:M17)</f>
        <v/>
      </c>
    </row>
    <row r="26" ht="16" customHeight="1">
      <c r="A26" s="112" t="inlineStr">
        <is>
          <t>1B</t>
        </is>
      </c>
      <c r="B26" s="80" t="inlineStr">
        <is>
          <t>Coordination items (supply by others)</t>
        </is>
      </c>
      <c r="C26" s="86" t="n"/>
      <c r="D26" s="86" t="n"/>
      <c r="E26" s="86" t="n"/>
      <c r="F26" s="86" t="n"/>
      <c r="G26" s="86" t="n"/>
      <c r="H26" s="86" t="n"/>
      <c r="I26" s="86" t="n"/>
      <c r="J26" s="86" t="n"/>
      <c r="K26" s="81">
        <f>SUM(K19:K21)</f>
        <v/>
      </c>
      <c r="L26" s="81">
        <f>SUM(L19:L21)</f>
        <v/>
      </c>
      <c r="M26" s="92">
        <f>SUM(M19:M21)</f>
        <v/>
      </c>
    </row>
    <row r="27" ht="20" customHeight="1">
      <c r="A27" s="113" t="inlineStr">
        <is>
          <t>PACKAGE TOTAL - Bill 1, carried to the Cover overview</t>
        </is>
      </c>
      <c r="K27" s="83">
        <f>SUM(K25:K26)</f>
        <v/>
      </c>
      <c r="L27" s="83">
        <f>SUM(L25:L26)</f>
        <v/>
      </c>
      <c r="M27" s="83">
        <f>SUM(M25:M26)</f>
        <v/>
      </c>
    </row>
    <row r="28" ht="24" customHeight="1">
      <c r="A28"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2">
    <mergeCell ref="A18:N18"/>
    <mergeCell ref="B25:J25"/>
    <mergeCell ref="A8:N8"/>
    <mergeCell ref="C2:N2"/>
    <mergeCell ref="C1:N1"/>
    <mergeCell ref="B9:N9"/>
    <mergeCell ref="A4:N4"/>
    <mergeCell ref="A27:J27"/>
    <mergeCell ref="B26:J26"/>
    <mergeCell ref="A28:N28"/>
    <mergeCell ref="A23:N23"/>
    <mergeCell ref="B24:J24"/>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1:N41"/>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2 - Internal Linings - Walls, Vaulted Ceilings, Tape, Beads &amp; Skim</t>
        </is>
      </c>
    </row>
    <row r="2" ht="26" customHeight="1">
      <c r="C2" s="103" t="inlineStr">
        <is>
          <t>Dry linings to the ICF inner faces (thermal barrier to the EPS), TLSTF partitions, reveals, basement ceilings and the GF vaulted ceilings (on the slope).  [NRM2 28 / package DRY]</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2A  Wall linings (NRM2 28 / package DRY)</t>
        </is>
      </c>
    </row>
    <row r="9" ht="52" customHeight="1">
      <c r="B9" s="108" t="inlineStr">
        <is>
          <t>Measured on the modelled ICF inner EPS faces (component export, openings net). Basement: FFL -3,300 to the GF slab soffit -325 (2,975 clear); GF: FFL to the vaulted ceiling - the gable triangles and the eaves walls up to the rafters are lined (vaulted rooms). TLSTF partitions both faces, door gaps deducted (2,100 high); GF partitions are raked to the vault (200.9 m2 one face). EPS faces must be covered by a thermal barrier (min. 12.5 mm board, mechanically fixed to the ICF webs) whatever the finish. Basement linings follow the BS 8102 design (Bill 9): with a Type C cavity drain the board goes on battens inside the membrane - PROVISIONAL build-up.</t>
        </is>
      </c>
    </row>
    <row r="10" ht="52" customHeight="1">
      <c r="A10" s="80" t="inlineStr">
        <is>
          <t>2A.1</t>
        </is>
      </c>
      <c r="B10" s="80" t="inlineStr">
        <is>
          <t>Basement ICF inner face - stair / hall, stores, laundry, plant (FFL -3,300 to -325): 12.5 mm board on battens / inside the cavity drain membrane (BS 8102 - PROVISIONAL)</t>
        </is>
      </c>
      <c r="C10" s="80" t="inlineStr">
        <is>
          <t>m2</t>
        </is>
      </c>
      <c r="D10" s="109" t="n"/>
      <c r="E10" s="109" t="n">
        <v>84.738</v>
      </c>
      <c r="F10" s="109" t="n"/>
      <c r="G10" s="109" t="n"/>
      <c r="H10" s="95">
        <f>SUMPRODUCT($D$7:$G$7,D10:G10)</f>
        <v/>
      </c>
      <c r="I10" s="110" t="n"/>
      <c r="J10" s="110" t="n"/>
      <c r="K10" s="81">
        <f>N(H10)*N(I10)</f>
        <v/>
      </c>
      <c r="L10" s="81">
        <f>N(H10)*N(J10)</f>
        <v/>
      </c>
      <c r="M10" s="92">
        <f>K10+L10</f>
        <v/>
      </c>
      <c r="N10" s="111" t="inlineStr">
        <is>
          <t>incl. both faces of the internal ICF store nib + stub (8.8); Order guide +10% = 93.2</t>
        </is>
      </c>
    </row>
    <row r="11" ht="39" customHeight="1">
      <c r="A11" s="80" t="inlineStr">
        <is>
          <t>2A.2</t>
        </is>
      </c>
      <c r="B11" s="80" t="inlineStr">
        <is>
          <t>Garage ICF inner face (integral garage): 12.5 mm board mechanically fixed (EPS thermal barrier); fire-resisting lining where the warrant requires</t>
        </is>
      </c>
      <c r="C11" s="80" t="inlineStr">
        <is>
          <t>m2</t>
        </is>
      </c>
      <c r="D11" s="109" t="n"/>
      <c r="E11" s="109" t="n">
        <v>32.593</v>
      </c>
      <c r="F11" s="109" t="n"/>
      <c r="G11" s="109" t="n"/>
      <c r="H11" s="95">
        <f>SUMPRODUCT($D$7:$G$7,D11:G11)</f>
        <v/>
      </c>
      <c r="I11" s="110" t="n"/>
      <c r="J11" s="110" t="n"/>
      <c r="K11" s="81">
        <f>N(H11)*N(I11)</f>
        <v/>
      </c>
      <c r="L11" s="81">
        <f>N(H11)*N(J11)</f>
        <v/>
      </c>
      <c r="M11" s="92">
        <f>K11+L11</f>
        <v/>
      </c>
      <c r="N11" s="111" t="inlineStr">
        <is>
          <t>Order guide +10% = 35.9</t>
        </is>
      </c>
    </row>
    <row r="12" ht="39" customHeight="1">
      <c r="A12" s="80" t="inlineStr">
        <is>
          <t>2A.3</t>
        </is>
      </c>
      <c r="B12" s="80" t="inlineStr">
        <is>
          <t>Pool hall walls (ICF inner face around the pool): moisture-resistant / cement-based board + tanking + tiling by the pool specialist - PROVISIONAL</t>
        </is>
      </c>
      <c r="C12" s="80" t="inlineStr">
        <is>
          <t>m2</t>
        </is>
      </c>
      <c r="D12" s="109" t="n"/>
      <c r="E12" s="109" t="n">
        <v>41.364</v>
      </c>
      <c r="F12" s="109" t="n"/>
      <c r="G12" s="109" t="n"/>
      <c r="H12" s="95">
        <f>SUMPRODUCT($D$7:$G$7,D12:G12)</f>
        <v/>
      </c>
      <c r="I12" s="110" t="n"/>
      <c r="J12" s="110" t="n"/>
      <c r="K12" s="81">
        <f>N(H12)*N(I12)</f>
        <v/>
      </c>
      <c r="L12" s="81">
        <f>N(H12)*N(J12)</f>
        <v/>
      </c>
      <c r="M12" s="92">
        <f>K12+L12</f>
        <v/>
      </c>
      <c r="N12" s="111" t="inlineStr">
        <is>
          <t>Pool specialist; Order guide +10% = 45.5</t>
        </is>
      </c>
    </row>
    <row r="13" ht="52" customHeight="1">
      <c r="A13" s="80" t="inlineStr">
        <is>
          <t>2A.4</t>
        </is>
      </c>
      <c r="B13" s="80" t="inlineStr">
        <is>
          <t>GF ICF inner face incl. the gable triangles up to the vault + the hall face of the wing stub: 12.5 mm wallboard on dabs + mechanical fixings to the ICF webs (MR board in the ensuites / cloaks)</t>
        </is>
      </c>
      <c r="C13" s="80" t="inlineStr">
        <is>
          <t>m2</t>
        </is>
      </c>
      <c r="D13" s="109" t="n"/>
      <c r="E13" s="109" t="n"/>
      <c r="F13" s="109" t="n"/>
      <c r="G13" s="109" t="n">
        <v>161.85</v>
      </c>
      <c r="H13" s="95">
        <f>SUMPRODUCT($D$7:$G$7,D13:G13)</f>
        <v/>
      </c>
      <c r="I13" s="110" t="n"/>
      <c r="J13" s="110" t="n"/>
      <c r="K13" s="81">
        <f>N(H13)*N(I13)</f>
        <v/>
      </c>
      <c r="L13" s="81">
        <f>N(H13)*N(J13)</f>
        <v/>
      </c>
      <c r="M13" s="92">
        <f>K13+L13</f>
        <v/>
      </c>
      <c r="N13" s="111" t="inlineStr">
        <is>
          <t>inner faces 157.9 + stub 3.9; Order guide +10% = 178.0</t>
        </is>
      </c>
    </row>
    <row r="14" ht="26" customHeight="1">
      <c r="A14" s="80" t="inlineStr">
        <is>
          <t>2A.5</t>
        </is>
      </c>
      <c r="B14" s="80" t="inlineStr">
        <is>
          <t>Basement TLSTF partitions - both faces (garage faces in 2A.6): 15 mm board on 38 x 89 studs; MR in the laundry</t>
        </is>
      </c>
      <c r="C14" s="80" t="inlineStr">
        <is>
          <t>m2</t>
        </is>
      </c>
      <c r="D14" s="109" t="n"/>
      <c r="E14" s="109" t="n">
        <v>128.972</v>
      </c>
      <c r="F14" s="109" t="n"/>
      <c r="G14" s="109" t="n"/>
      <c r="H14" s="95">
        <f>SUMPRODUCT($D$7:$G$7,D14:G14)</f>
        <v/>
      </c>
      <c r="I14" s="110" t="n"/>
      <c r="J14" s="110" t="n"/>
      <c r="K14" s="81">
        <f>N(H14)*N(I14)</f>
        <v/>
      </c>
      <c r="L14" s="81">
        <f>N(H14)*N(J14)</f>
        <v/>
      </c>
      <c r="M14" s="92">
        <f>K14+L14</f>
        <v/>
      </c>
      <c r="N14" s="111" t="inlineStr">
        <is>
          <t>Order guide +10% = 141.9</t>
        </is>
      </c>
    </row>
    <row r="15" ht="39" customHeight="1">
      <c r="A15" s="80" t="inlineStr">
        <is>
          <t>2A.6</t>
        </is>
      </c>
      <c r="B15" s="80" t="inlineStr">
        <is>
          <t>Garage faces of the garage / dwelling partitions BF-P03 + BF-P04: fire-resisting board (e.g. 2 x 15 mm FR) per the building warrant (Section 2 Fire) - PROVISIONAL</t>
        </is>
      </c>
      <c r="C15" s="80" t="inlineStr">
        <is>
          <t>m2</t>
        </is>
      </c>
      <c r="D15" s="109" t="n"/>
      <c r="E15" s="109" t="n">
        <v>36.525</v>
      </c>
      <c r="F15" s="109" t="n"/>
      <c r="G15" s="109" t="n"/>
      <c r="H15" s="95">
        <f>SUMPRODUCT($D$7:$G$7,D15:G15)</f>
        <v/>
      </c>
      <c r="I15" s="110" t="n"/>
      <c r="J15" s="110" t="n"/>
      <c r="K15" s="81">
        <f>N(H15)*N(I15)</f>
        <v/>
      </c>
      <c r="L15" s="81">
        <f>N(H15)*N(J15)</f>
        <v/>
      </c>
      <c r="M15" s="92">
        <f>K15+L15</f>
        <v/>
      </c>
      <c r="N15" s="111" t="inlineStr">
        <is>
          <t>Separation garage / dwelling; Order guide +10% = 40.2</t>
        </is>
      </c>
    </row>
    <row r="16" ht="39" customHeight="1">
      <c r="A16" s="80" t="inlineStr">
        <is>
          <t>2A.7</t>
        </is>
      </c>
      <c r="B16" s="80" t="inlineStr">
        <is>
          <t>GF TLSTF partitions - both faces, raked heads to the vaulted ceiling: 15 mm board on 38 x 89 studs; MR in the ensuites / cloaks</t>
        </is>
      </c>
      <c r="C16" s="80" t="inlineStr">
        <is>
          <t>m2</t>
        </is>
      </c>
      <c r="D16" s="109" t="n"/>
      <c r="E16" s="109" t="n"/>
      <c r="F16" s="109" t="n"/>
      <c r="G16" s="109" t="n">
        <v>379.369</v>
      </c>
      <c r="H16" s="95">
        <f>SUMPRODUCT($D$7:$G$7,D16:G16)</f>
        <v/>
      </c>
      <c r="I16" s="110" t="n"/>
      <c r="J16" s="110" t="n"/>
      <c r="K16" s="81">
        <f>N(H16)*N(I16)</f>
        <v/>
      </c>
      <c r="L16" s="81">
        <f>N(H16)*N(J16)</f>
        <v/>
      </c>
      <c r="M16" s="92">
        <f>K16+L16</f>
        <v/>
      </c>
      <c r="N16" s="111" t="inlineStr">
        <is>
          <t>Tall raked walls - board to 5.9 m; Order guide +10% = 417.3</t>
        </is>
      </c>
    </row>
    <row r="17" ht="39" customHeight="1">
      <c r="A17" s="80" t="inlineStr">
        <is>
          <t>2A.8</t>
        </is>
      </c>
      <c r="B17" s="80" t="inlineStr">
        <is>
          <t>Internal reveals to windows / doors in the ICF, jambs and heads, 211 deep GF / 278 basement: board / bonding + skim</t>
        </is>
      </c>
      <c r="C17" s="80" t="inlineStr">
        <is>
          <t>m2</t>
        </is>
      </c>
      <c r="D17" s="109" t="n"/>
      <c r="E17" s="109" t="n">
        <v>6.148</v>
      </c>
      <c r="F17" s="109" t="n"/>
      <c r="G17" s="109" t="n">
        <v>10.858</v>
      </c>
      <c r="H17" s="95">
        <f>SUMPRODUCT($D$7:$G$7,D17:G17)</f>
        <v/>
      </c>
      <c r="I17" s="110" t="n"/>
      <c r="J17" s="110" t="n"/>
      <c r="K17" s="81">
        <f>N(H17)*N(I17)</f>
        <v/>
      </c>
      <c r="L17" s="81">
        <f>N(H17)*N(J17)</f>
        <v/>
      </c>
      <c r="M17" s="92">
        <f>K17+L17</f>
        <v/>
      </c>
      <c r="N17" s="111" t="inlineStr">
        <is>
          <t>Order guide +10% = 18.7</t>
        </is>
      </c>
    </row>
    <row r="18" ht="26" customHeight="1">
      <c r="A18" s="80" t="inlineStr">
        <is>
          <t>2A.9</t>
        </is>
      </c>
      <c r="B18" s="80" t="inlineStr">
        <is>
          <t>Internal returns at the ICF wall ends beside the glazed screens (same depth as the reveals)</t>
        </is>
      </c>
      <c r="C18" s="80" t="inlineStr">
        <is>
          <t>m2</t>
        </is>
      </c>
      <c r="D18" s="109" t="n"/>
      <c r="E18" s="109" t="n">
        <v>3.106</v>
      </c>
      <c r="F18" s="109" t="n"/>
      <c r="G18" s="109" t="n">
        <v>6.515</v>
      </c>
      <c r="H18" s="95">
        <f>SUMPRODUCT($D$7:$G$7,D18:G18)</f>
        <v/>
      </c>
      <c r="I18" s="110" t="n"/>
      <c r="J18" s="110" t="n"/>
      <c r="K18" s="81">
        <f>N(H18)*N(I18)</f>
        <v/>
      </c>
      <c r="L18" s="81">
        <f>N(H18)*N(J18)</f>
        <v/>
      </c>
      <c r="M18" s="92">
        <f>K18+L18</f>
        <v/>
      </c>
      <c r="N18" s="111" t="inlineStr">
        <is>
          <t>Order guide +10% = 10.6</t>
        </is>
      </c>
    </row>
    <row r="19">
      <c r="A19" s="100" t="inlineStr">
        <is>
          <t>2B  Ceilings (NRM2 28 / package DRY)</t>
        </is>
      </c>
    </row>
    <row r="20" ht="26" customHeight="1">
      <c r="B20" s="108" t="inlineStr">
        <is>
          <t>Basement: the soffit of the GF suspended slab (-325), net plan areas (Schedule A). GF: VAULTED throughout - plasterboard on the rafter soffits, MEASURED ON THE SLOPE (45 deg: plan 199.8 m2 x 1.414); the insulation / VCL build-up is in Bill 7C.</t>
        </is>
      </c>
    </row>
    <row r="21" ht="39" customHeight="1">
      <c r="A21" s="80" t="inlineStr">
        <is>
          <t>2B.1</t>
        </is>
      </c>
      <c r="B21" s="80" t="inlineStr">
        <is>
          <t>Basement ceilings (stair / hall, stores, laundry) under the GF slab: MF ceiling grid + 12.5 mm board, or tape-and-fill direct to the slab</t>
        </is>
      </c>
      <c r="C21" s="80" t="inlineStr">
        <is>
          <t>m2</t>
        </is>
      </c>
      <c r="D21" s="109" t="n"/>
      <c r="E21" s="109" t="n">
        <v>87.539</v>
      </c>
      <c r="F21" s="109" t="n"/>
      <c r="G21" s="109" t="n"/>
      <c r="H21" s="95">
        <f>SUMPRODUCT($D$7:$G$7,D21:G21)</f>
        <v/>
      </c>
      <c r="I21" s="110" t="n"/>
      <c r="J21" s="110" t="n"/>
      <c r="K21" s="81">
        <f>N(H21)*N(I21)</f>
        <v/>
      </c>
      <c r="L21" s="81">
        <f>N(H21)*N(J21)</f>
        <v/>
      </c>
      <c r="M21" s="92">
        <f>K21+L21</f>
        <v/>
      </c>
      <c r="N21" s="111" t="inlineStr">
        <is>
          <t>Order guide +10% = 96.3</t>
        </is>
      </c>
    </row>
    <row r="22" ht="39" customHeight="1">
      <c r="A22" s="80" t="inlineStr">
        <is>
          <t>2B.2</t>
        </is>
      </c>
      <c r="B22" s="80" t="inlineStr">
        <is>
          <t>Integral garage ceiling under the dwelling: fire-resisting ceiling (e.g. 2 x 15 mm FR board on MF) per the warrant - PROVISIONAL</t>
        </is>
      </c>
      <c r="C22" s="80" t="inlineStr">
        <is>
          <t>m2</t>
        </is>
      </c>
      <c r="D22" s="109" t="n"/>
      <c r="E22" s="109" t="n">
        <v>49.049</v>
      </c>
      <c r="F22" s="109" t="n"/>
      <c r="G22" s="109" t="n"/>
      <c r="H22" s="95">
        <f>SUMPRODUCT($D$7:$G$7,D22:G22)</f>
        <v/>
      </c>
      <c r="I22" s="110" t="n"/>
      <c r="J22" s="110" t="n"/>
      <c r="K22" s="81">
        <f>N(H22)*N(I22)</f>
        <v/>
      </c>
      <c r="L22" s="81">
        <f>N(H22)*N(J22)</f>
        <v/>
      </c>
      <c r="M22" s="92">
        <f>K22+L22</f>
        <v/>
      </c>
      <c r="N22" s="111" t="inlineStr">
        <is>
          <t>Garage 7.0 x 7.0</t>
        </is>
      </c>
    </row>
    <row r="23" ht="39" customHeight="1">
      <c r="A23" s="80" t="inlineStr">
        <is>
          <t>2B.3</t>
        </is>
      </c>
      <c r="B23" s="80" t="inlineStr">
        <is>
          <t>Pool hall ceiling: moisture-resistant board + VCL (pool hall environment) - by / to the pool specialist, PROVISIONAL</t>
        </is>
      </c>
      <c r="C23" s="80" t="inlineStr">
        <is>
          <t>m2</t>
        </is>
      </c>
      <c r="D23" s="109" t="n"/>
      <c r="E23" s="109" t="n">
        <v>43.401</v>
      </c>
      <c r="F23" s="109" t="n"/>
      <c r="G23" s="109" t="n"/>
      <c r="H23" s="95">
        <f>SUMPRODUCT($D$7:$G$7,D23:G23)</f>
        <v/>
      </c>
      <c r="I23" s="110" t="n"/>
      <c r="J23" s="110" t="n"/>
      <c r="K23" s="81">
        <f>N(H23)*N(I23)</f>
        <v/>
      </c>
      <c r="L23" s="81">
        <f>N(H23)*N(J23)</f>
        <v/>
      </c>
      <c r="M23" s="92">
        <f>K23+L23</f>
        <v/>
      </c>
      <c r="N23" s="111" t="inlineStr">
        <is>
          <t>Pool specialist</t>
        </is>
      </c>
    </row>
    <row r="24" ht="26" customHeight="1">
      <c r="A24" s="80" t="inlineStr">
        <is>
          <t>2B.4</t>
        </is>
      </c>
      <c r="B24" s="80" t="inlineStr">
        <is>
          <t>GF vaulted ceilings: 12.5 mm board (or insulated board) on the rafter soffits, measured on the 45 deg slope</t>
        </is>
      </c>
      <c r="C24" s="80" t="inlineStr">
        <is>
          <t>m2</t>
        </is>
      </c>
      <c r="D24" s="109" t="n"/>
      <c r="E24" s="109" t="n"/>
      <c r="F24" s="109" t="n"/>
      <c r="G24" s="109" t="n">
        <v>282.549</v>
      </c>
      <c r="H24" s="95">
        <f>SUMPRODUCT($D$7:$G$7,D24:G24)</f>
        <v/>
      </c>
      <c r="I24" s="110" t="n"/>
      <c r="J24" s="110" t="n"/>
      <c r="K24" s="81">
        <f>N(H24)*N(I24)</f>
        <v/>
      </c>
      <c r="L24" s="81">
        <f>N(H24)*N(J24)</f>
        <v/>
      </c>
      <c r="M24" s="92">
        <f>K24+L24</f>
        <v/>
      </c>
      <c r="N24" s="111" t="inlineStr">
        <is>
          <t>Order guide +10% = 310.8; plan 199.8 m2</t>
        </is>
      </c>
    </row>
    <row r="25" ht="52" customHeight="1">
      <c r="A25" s="80" t="inlineStr">
        <is>
          <t>2B.5</t>
        </is>
      </c>
      <c r="B25" s="80" t="inlineStr">
        <is>
          <t>Ridge beam linings / boxings where the beams drop below the vault: Roof L 120 x 400 GL24h (20.7 m), Roof R 140 x 800 GL24h (12.3 m) - or exposed feature finish (client)</t>
        </is>
      </c>
      <c r="C25" s="80" t="inlineStr">
        <is>
          <t>m</t>
        </is>
      </c>
      <c r="D25" s="109" t="n"/>
      <c r="E25" s="109" t="n"/>
      <c r="F25" s="109" t="n"/>
      <c r="G25" s="109" t="n">
        <v>32.745</v>
      </c>
      <c r="H25" s="95">
        <f>SUMPRODUCT($D$7:$G$7,D25:G25)</f>
        <v/>
      </c>
      <c r="I25" s="110" t="n"/>
      <c r="J25" s="110" t="n"/>
      <c r="K25" s="81">
        <f>N(H25)*N(I25)</f>
        <v/>
      </c>
      <c r="L25" s="81">
        <f>N(H25)*N(J25)</f>
        <v/>
      </c>
      <c r="M25" s="92">
        <f>K25+L25</f>
        <v/>
      </c>
      <c r="N25" s="111" t="inlineStr">
        <is>
          <t>Girth to suit; glulam may be left exposed</t>
        </is>
      </c>
    </row>
    <row r="26">
      <c r="A26" s="100" t="inlineStr">
        <is>
          <t>2C  Jointing, beads and skim (NRM2 28 / package DRY)</t>
        </is>
      </c>
    </row>
    <row r="27" ht="26" customHeight="1">
      <c r="A27" s="80" t="inlineStr">
        <is>
          <t>2C.1</t>
        </is>
      </c>
      <c r="B27" s="80" t="inlineStr">
        <is>
          <t>Scrim tape, board joints (walls / 1.2 m; ceilings / 1.2 + 2.4 m)</t>
        </is>
      </c>
      <c r="C27" s="80" t="inlineStr">
        <is>
          <t>m</t>
        </is>
      </c>
      <c r="D27" s="109" t="n"/>
      <c r="E27" s="109" t="n">
        <v>414.137</v>
      </c>
      <c r="F27" s="109" t="n"/>
      <c r="G27" s="109" t="n">
        <v>818.681</v>
      </c>
      <c r="H27" s="95">
        <f>SUMPRODUCT($D$7:$G$7,D27:G27)</f>
        <v/>
      </c>
      <c r="I27" s="110" t="n"/>
      <c r="J27" s="110" t="n"/>
      <c r="K27" s="81">
        <f>N(H27)*N(I27)</f>
        <v/>
      </c>
      <c r="L27" s="81">
        <f>N(H27)*N(J27)</f>
        <v/>
      </c>
      <c r="M27" s="92">
        <f>K27+L27</f>
        <v/>
      </c>
      <c r="N27" s="111" t="inlineStr">
        <is>
          <t>Order guide +10% = 1,356.1</t>
        </is>
      </c>
    </row>
    <row r="28" ht="26" customHeight="1">
      <c r="A28" s="80" t="inlineStr">
        <is>
          <t>2C.2</t>
        </is>
      </c>
      <c r="B28" s="80" t="inlineStr">
        <is>
          <t>Scrim tape, internal angles wall to wall (4 per partition + ICF internal corners)</t>
        </is>
      </c>
      <c r="C28" s="80" t="inlineStr">
        <is>
          <t>m</t>
        </is>
      </c>
      <c r="D28" s="109" t="n"/>
      <c r="E28" s="109" t="n">
        <v>113.05</v>
      </c>
      <c r="F28" s="109" t="n"/>
      <c r="G28" s="109" t="n">
        <v>401.905</v>
      </c>
      <c r="H28" s="95">
        <f>SUMPRODUCT($D$7:$G$7,D28:G28)</f>
        <v/>
      </c>
      <c r="I28" s="110" t="n"/>
      <c r="J28" s="110" t="n"/>
      <c r="K28" s="81">
        <f>N(H28)*N(I28)</f>
        <v/>
      </c>
      <c r="L28" s="81">
        <f>N(H28)*N(J28)</f>
        <v/>
      </c>
      <c r="M28" s="92">
        <f>K28+L28</f>
        <v/>
      </c>
      <c r="N28" s="111" t="inlineStr">
        <is>
          <t>Estimate - no room model; Order guide +10% = 566.5</t>
        </is>
      </c>
    </row>
    <row r="29" ht="26" customHeight="1">
      <c r="A29" s="80" t="inlineStr">
        <is>
          <t>2C.3</t>
        </is>
      </c>
      <c r="B29" s="80" t="inlineStr">
        <is>
          <t>Scrim tape, wall to ceiling angles (eaves / gable heads + partition heads both sides)</t>
        </is>
      </c>
      <c r="C29" s="80" t="inlineStr">
        <is>
          <t>m</t>
        </is>
      </c>
      <c r="D29" s="109" t="n"/>
      <c r="E29" s="109" t="n">
        <v>106.155</v>
      </c>
      <c r="F29" s="109" t="n"/>
      <c r="G29" s="109" t="n">
        <v>171.441</v>
      </c>
      <c r="H29" s="95">
        <f>SUMPRODUCT($D$7:$G$7,D29:G29)</f>
        <v/>
      </c>
      <c r="I29" s="110" t="n"/>
      <c r="J29" s="110" t="n"/>
      <c r="K29" s="81">
        <f>N(H29)*N(I29)</f>
        <v/>
      </c>
      <c r="L29" s="81">
        <f>N(H29)*N(J29)</f>
        <v/>
      </c>
      <c r="M29" s="92">
        <f>K29+L29</f>
        <v/>
      </c>
      <c r="N29" s="111" t="inlineStr">
        <is>
          <t>Estimate; Order guide +10% = 305.4</t>
        </is>
      </c>
    </row>
    <row r="30" ht="26" customHeight="1">
      <c r="A30" s="80" t="inlineStr">
        <is>
          <t>2C.4</t>
        </is>
      </c>
      <c r="B30" s="80" t="inlineStr">
        <is>
          <t>Angle bead, window / door reveals and screen-end returns</t>
        </is>
      </c>
      <c r="C30" s="80" t="inlineStr">
        <is>
          <t>m</t>
        </is>
      </c>
      <c r="D30" s="109" t="n"/>
      <c r="E30" s="109" t="n">
        <v>33.283</v>
      </c>
      <c r="F30" s="109" t="n"/>
      <c r="G30" s="109" t="n">
        <v>82.22</v>
      </c>
      <c r="H30" s="95">
        <f>SUMPRODUCT($D$7:$G$7,D30:G30)</f>
        <v/>
      </c>
      <c r="I30" s="110" t="n"/>
      <c r="J30" s="110" t="n"/>
      <c r="K30" s="81">
        <f>N(H30)*N(I30)</f>
        <v/>
      </c>
      <c r="L30" s="81">
        <f>N(H30)*N(J30)</f>
        <v/>
      </c>
      <c r="M30" s="92">
        <f>K30+L30</f>
        <v/>
      </c>
      <c r="N30" s="111" t="inlineStr">
        <is>
          <t>Order guide +10% = 127.1</t>
        </is>
      </c>
    </row>
    <row r="31" ht="26" customHeight="1">
      <c r="A31" s="80" t="inlineStr">
        <is>
          <t>2C.5</t>
        </is>
      </c>
      <c r="B31" s="80" t="inlineStr">
        <is>
          <t>Skim coat, 2-3 mm, to all net wall, reveal and ceiling board faces (pool hall excluded - specialist)</t>
        </is>
      </c>
      <c r="C31" s="80" t="inlineStr">
        <is>
          <t>m2</t>
        </is>
      </c>
      <c r="D31" s="109" t="n"/>
      <c r="E31" s="109" t="n">
        <v>428.67</v>
      </c>
      <c r="F31" s="109" t="n"/>
      <c r="G31" s="109" t="n">
        <v>841.1420000000001</v>
      </c>
      <c r="H31" s="95">
        <f>SUMPRODUCT($D$7:$G$7,D31:G31)</f>
        <v/>
      </c>
      <c r="I31" s="110" t="n"/>
      <c r="J31" s="110" t="n"/>
      <c r="K31" s="81">
        <f>N(H31)*N(I31)</f>
        <v/>
      </c>
      <c r="L31" s="81">
        <f>N(H31)*N(J31)</f>
        <v/>
      </c>
      <c r="M31" s="92">
        <f>K31+L31</f>
        <v/>
      </c>
      <c r="N31" s="111" t="inlineStr">
        <is>
          <t>Face layer only</t>
        </is>
      </c>
    </row>
    <row r="32">
      <c r="A32" s="100" t="inlineStr">
        <is>
          <t>2D  Ordering guide (not a measured item)</t>
        </is>
      </c>
    </row>
    <row r="33" ht="26" customHeight="1">
      <c r="A33" s="114" t="inlineStr">
        <is>
          <t>2D.1</t>
        </is>
      </c>
      <c r="B33" s="114" t="inlineStr">
        <is>
          <t>Plasterboard to purchase, all types, before waste (excl. pool hall)</t>
        </is>
      </c>
      <c r="C33" s="114" t="inlineStr">
        <is>
          <t>m2</t>
        </is>
      </c>
      <c r="D33" s="115" t="n"/>
      <c r="E33" s="115" t="n">
        <v>428.67</v>
      </c>
      <c r="F33" s="115" t="n"/>
      <c r="G33" s="115" t="n">
        <v>841.1420000000001</v>
      </c>
      <c r="H33" s="115">
        <f>SUMPRODUCT($D$7:$G$7,D33:G33)</f>
        <v/>
      </c>
      <c r="I33" s="116" t="n"/>
      <c r="J33" s="116" t="n"/>
      <c r="K33" s="116" t="n"/>
      <c r="L33" s="116" t="n"/>
      <c r="M33" s="117" t="inlineStr">
        <is>
          <t>not priced</t>
        </is>
      </c>
      <c r="N33" s="118" t="inlineStr">
        <is>
          <t>Order guide +10% = 1,396.8 (guide only)</t>
        </is>
      </c>
    </row>
    <row r="35" ht="20" customHeight="1">
      <c r="A35" s="91" t="inlineStr">
        <is>
          <t>PACKAGE SUMMARY  -  Bill 2  Internal Linings - Walls, Vaulted Ceilings, Tape, Beads &amp; Skim  (package DRY; amounts by others, excl. VAT)</t>
        </is>
      </c>
    </row>
    <row r="36" ht="30" customHeight="1">
      <c r="A36" s="79" t="inlineStr">
        <is>
          <t>Section</t>
        </is>
      </c>
      <c r="B36" s="79" t="inlineStr">
        <is>
          <t>Description</t>
        </is>
      </c>
      <c r="C36" s="97" t="n"/>
      <c r="D36" s="97" t="n"/>
      <c r="E36" s="97" t="n"/>
      <c r="F36" s="97" t="n"/>
      <c r="G36" s="97" t="n"/>
      <c r="H36" s="97" t="n"/>
      <c r="I36" s="97" t="n"/>
      <c r="J36" s="98" t="n"/>
      <c r="K36" s="79" t="inlineStr">
        <is>
          <t>Supply
£</t>
        </is>
      </c>
      <c r="L36" s="79" t="inlineStr">
        <is>
          <t>Install
£</t>
        </is>
      </c>
      <c r="M36" s="79" t="inlineStr">
        <is>
          <t>Total
£</t>
        </is>
      </c>
      <c r="N36" s="79" t="inlineStr"/>
    </row>
    <row r="37" ht="16" customHeight="1">
      <c r="A37" s="112" t="inlineStr">
        <is>
          <t>2A</t>
        </is>
      </c>
      <c r="B37" s="80" t="inlineStr">
        <is>
          <t>Wall linings (NRM2 28 / package DRY)</t>
        </is>
      </c>
      <c r="C37" s="86" t="n"/>
      <c r="D37" s="86" t="n"/>
      <c r="E37" s="86" t="n"/>
      <c r="F37" s="86" t="n"/>
      <c r="G37" s="86" t="n"/>
      <c r="H37" s="86" t="n"/>
      <c r="I37" s="86" t="n"/>
      <c r="J37" s="86" t="n"/>
      <c r="K37" s="81">
        <f>SUM(K9:K18)</f>
        <v/>
      </c>
      <c r="L37" s="81">
        <f>SUM(L9:L18)</f>
        <v/>
      </c>
      <c r="M37" s="92">
        <f>SUM(M9:M18)</f>
        <v/>
      </c>
    </row>
    <row r="38" ht="16" customHeight="1">
      <c r="A38" s="112" t="inlineStr">
        <is>
          <t>2B</t>
        </is>
      </c>
      <c r="B38" s="80" t="inlineStr">
        <is>
          <t>Ceilings (NRM2 28 / package DRY)</t>
        </is>
      </c>
      <c r="C38" s="86" t="n"/>
      <c r="D38" s="86" t="n"/>
      <c r="E38" s="86" t="n"/>
      <c r="F38" s="86" t="n"/>
      <c r="G38" s="86" t="n"/>
      <c r="H38" s="86" t="n"/>
      <c r="I38" s="86" t="n"/>
      <c r="J38" s="86" t="n"/>
      <c r="K38" s="81">
        <f>SUM(K20:K25)</f>
        <v/>
      </c>
      <c r="L38" s="81">
        <f>SUM(L20:L25)</f>
        <v/>
      </c>
      <c r="M38" s="92">
        <f>SUM(M20:M25)</f>
        <v/>
      </c>
    </row>
    <row r="39" ht="16" customHeight="1">
      <c r="A39" s="112" t="inlineStr">
        <is>
          <t>2C</t>
        </is>
      </c>
      <c r="B39" s="80" t="inlineStr">
        <is>
          <t>Jointing, beads and skim (NRM2 28 / package DRY)</t>
        </is>
      </c>
      <c r="C39" s="86" t="n"/>
      <c r="D39" s="86" t="n"/>
      <c r="E39" s="86" t="n"/>
      <c r="F39" s="86" t="n"/>
      <c r="G39" s="86" t="n"/>
      <c r="H39" s="86" t="n"/>
      <c r="I39" s="86" t="n"/>
      <c r="J39" s="86" t="n"/>
      <c r="K39" s="81">
        <f>SUM(K27:K31)</f>
        <v/>
      </c>
      <c r="L39" s="81">
        <f>SUM(L27:L31)</f>
        <v/>
      </c>
      <c r="M39" s="92">
        <f>SUM(M27:M31)</f>
        <v/>
      </c>
    </row>
    <row r="40" ht="20" customHeight="1">
      <c r="A40" s="113" t="inlineStr">
        <is>
          <t>PACKAGE TOTAL - Bill 2, carried to the Cover overview</t>
        </is>
      </c>
      <c r="K40" s="83">
        <f>SUM(K37:K39)</f>
        <v/>
      </c>
      <c r="L40" s="83">
        <f>SUM(L37:L39)</f>
        <v/>
      </c>
      <c r="M40" s="83">
        <f>SUM(M37:M39)</f>
        <v/>
      </c>
    </row>
    <row r="41" ht="24" customHeight="1">
      <c r="A41"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6">
    <mergeCell ref="A8:N8"/>
    <mergeCell ref="C2:N2"/>
    <mergeCell ref="B37:J37"/>
    <mergeCell ref="C1:N1"/>
    <mergeCell ref="B9:N9"/>
    <mergeCell ref="A4:N4"/>
    <mergeCell ref="A35:N35"/>
    <mergeCell ref="A26:N26"/>
    <mergeCell ref="B36:J36"/>
    <mergeCell ref="A40:J40"/>
    <mergeCell ref="A41:N41"/>
    <mergeCell ref="A19:N19"/>
    <mergeCell ref="A32:N32"/>
    <mergeCell ref="B20:N20"/>
    <mergeCell ref="B38:J38"/>
    <mergeCell ref="B39:J39"/>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1:N30"/>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3 - Internal Doors &amp; Ironmongery</t>
        </is>
      </c>
    </row>
    <row r="2" ht="26" customHeight="1">
      <c r="C2" s="103" t="inlineStr">
        <is>
          <t>Internal doorsets and ironmongery per level from the TLSTF door openings (13 nr), incl. the fire-resisting garage doors.  [NRM2 24 / package JOI]</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3A  Internal doorsets (NRM2 24 / package JOI)</t>
        </is>
      </c>
    </row>
    <row r="9" ht="39" customHeight="1">
      <c r="B9" s="108" t="inlineStr">
        <is>
          <t>From the TLSTF door report (13 openings: basement 6, GF 7). Leaf = the largest standard 1,981-high leaf that fits the opening less 68 (2 x 32 lining + clearances): 830-855 -&gt; 762; 800 -&gt; 711; 762 -&gt; 686; 680 -&gt; 610. Wet rooms from the pattress reports (ensuites, cloaks, laundry). SCOTLAND: Standard 4.2 - the architect to check the clear opening widths (775 mm effective to apartments, the kitchen and the accessible sanitary room); the 680 / 762 openings are likely to need widening. Doors between the integral garage and the dwelling: fire-resisting and self-closing per the building warrant (Section 2 Fire).</t>
        </is>
      </c>
    </row>
    <row r="10" ht="26" customHeight="1">
      <c r="A10" s="80" t="inlineStr">
        <is>
          <t>3A.1</t>
        </is>
      </c>
      <c r="B10" s="80" t="inlineStr">
        <is>
          <t>Internal doorset, 762 x 1,981 leaf, 32 x 125 lining set, stops, ensuite / cloaks (privacy)</t>
        </is>
      </c>
      <c r="C10" s="80" t="inlineStr">
        <is>
          <t>nr</t>
        </is>
      </c>
      <c r="D10" s="109" t="n"/>
      <c r="E10" s="109" t="n"/>
      <c r="F10" s="109" t="n"/>
      <c r="G10" s="109" t="n">
        <v>1</v>
      </c>
      <c r="H10" s="95">
        <f>SUMPRODUCT($D$7:$G$7,D10:G10)</f>
        <v/>
      </c>
      <c r="I10" s="110" t="n"/>
      <c r="J10" s="110" t="n"/>
      <c r="K10" s="81">
        <f>N(H10)*N(I10)</f>
        <v/>
      </c>
      <c r="L10" s="81">
        <f>N(H10)*N(J10)</f>
        <v/>
      </c>
      <c r="M10" s="92">
        <f>K10+L10</f>
        <v/>
      </c>
      <c r="N10" s="111" t="inlineStr">
        <is>
          <t>GF-D03 (850)</t>
        </is>
      </c>
    </row>
    <row r="11" ht="26" customHeight="1">
      <c r="A11" s="80" t="inlineStr">
        <is>
          <t>3A.2</t>
        </is>
      </c>
      <c r="B11" s="80" t="inlineStr">
        <is>
          <t>Internal doorset, 610 x 1,981 leaf, 32 x 125 lining set, stops, ensuite / cloaks (privacy)</t>
        </is>
      </c>
      <c r="C11" s="80" t="inlineStr">
        <is>
          <t>nr</t>
        </is>
      </c>
      <c r="D11" s="109" t="n"/>
      <c r="E11" s="109" t="n"/>
      <c r="F11" s="109" t="n"/>
      <c r="G11" s="109" t="n">
        <v>2</v>
      </c>
      <c r="H11" s="95">
        <f>SUMPRODUCT($D$7:$G$7,D11:G11)</f>
        <v/>
      </c>
      <c r="I11" s="110" t="n"/>
      <c r="J11" s="110" t="n"/>
      <c r="K11" s="81">
        <f>N(H11)*N(I11)</f>
        <v/>
      </c>
      <c r="L11" s="81">
        <f>N(H11)*N(J11)</f>
        <v/>
      </c>
      <c r="M11" s="92">
        <f>K11+L11</f>
        <v/>
      </c>
      <c r="N11" s="111" t="inlineStr">
        <is>
          <t>GF-D05 (680), GF-D07 (680)</t>
        </is>
      </c>
    </row>
    <row r="12" ht="39" customHeight="1">
      <c r="A12" s="80" t="inlineStr">
        <is>
          <t>3A.3</t>
        </is>
      </c>
      <c r="B12" s="80" t="inlineStr">
        <is>
          <t>FIRE-RESISTING self-closing doorset, 762 x 1,981 leaf, intumescent + smoke seals, lining to suit the 119 partition, garage to dwelling</t>
        </is>
      </c>
      <c r="C12" s="80" t="inlineStr">
        <is>
          <t>nr</t>
        </is>
      </c>
      <c r="D12" s="109" t="n"/>
      <c r="E12" s="109" t="n">
        <v>1</v>
      </c>
      <c r="F12" s="109" t="n"/>
      <c r="G12" s="109" t="n"/>
      <c r="H12" s="95">
        <f>SUMPRODUCT($D$7:$G$7,D12:G12)</f>
        <v/>
      </c>
      <c r="I12" s="110" t="n"/>
      <c r="J12" s="110" t="n"/>
      <c r="K12" s="81">
        <f>N(H12)*N(I12)</f>
        <v/>
      </c>
      <c r="L12" s="81">
        <f>N(H12)*N(J12)</f>
        <v/>
      </c>
      <c r="M12" s="92">
        <f>K12+L12</f>
        <v/>
      </c>
      <c r="N12" s="111" t="inlineStr">
        <is>
          <t>BF-D05 (850); rating per the warrant</t>
        </is>
      </c>
    </row>
    <row r="13" ht="39" customHeight="1">
      <c r="A13" s="80" t="inlineStr">
        <is>
          <t>3A.4</t>
        </is>
      </c>
      <c r="B13" s="80" t="inlineStr">
        <is>
          <t>FIRE-RESISTING self-closing doorset, 711 x 1,981 leaf, intumescent + smoke seals, lining to suit the 119 partition, garage to dwelling</t>
        </is>
      </c>
      <c r="C13" s="80" t="inlineStr">
        <is>
          <t>nr</t>
        </is>
      </c>
      <c r="D13" s="109" t="n"/>
      <c r="E13" s="109" t="n">
        <v>1</v>
      </c>
      <c r="F13" s="109" t="n"/>
      <c r="G13" s="109" t="n"/>
      <c r="H13" s="95">
        <f>SUMPRODUCT($D$7:$G$7,D13:G13)</f>
        <v/>
      </c>
      <c r="I13" s="110" t="n"/>
      <c r="J13" s="110" t="n"/>
      <c r="K13" s="81">
        <f>N(H13)*N(I13)</f>
        <v/>
      </c>
      <c r="L13" s="81">
        <f>N(H13)*N(J13)</f>
        <v/>
      </c>
      <c r="M13" s="92">
        <f>K13+L13</f>
        <v/>
      </c>
      <c r="N13" s="111" t="inlineStr">
        <is>
          <t>BF-D02 (800); rating per the warrant</t>
        </is>
      </c>
    </row>
    <row r="14" ht="26" customHeight="1">
      <c r="A14" s="80" t="inlineStr">
        <is>
          <t>3A.5</t>
        </is>
      </c>
      <c r="B14" s="80" t="inlineStr">
        <is>
          <t>Internal doorset, 762 x 1,981 leaf, 32 x 125 lining set, stops, habitable rooms / stores / laundry</t>
        </is>
      </c>
      <c r="C14" s="80" t="inlineStr">
        <is>
          <t>nr</t>
        </is>
      </c>
      <c r="D14" s="109" t="n"/>
      <c r="E14" s="109" t="n">
        <v>4</v>
      </c>
      <c r="F14" s="109" t="n"/>
      <c r="G14" s="109" t="n">
        <v>2</v>
      </c>
      <c r="H14" s="95">
        <f>SUMPRODUCT($D$7:$G$7,D14:G14)</f>
        <v/>
      </c>
      <c r="I14" s="110" t="n"/>
      <c r="J14" s="110" t="n"/>
      <c r="K14" s="81">
        <f>N(H14)*N(I14)</f>
        <v/>
      </c>
      <c r="L14" s="81">
        <f>N(H14)*N(J14)</f>
        <v/>
      </c>
      <c r="M14" s="92">
        <f>K14+L14</f>
        <v/>
      </c>
      <c r="N14" s="111" t="inlineStr">
        <is>
          <t>BF-D01 (830), BF-D03 (850), BF-D04 (846), BF-D06 (850), GF-D01 (855), GF-D02 (850)</t>
        </is>
      </c>
    </row>
    <row r="15" ht="26" customHeight="1">
      <c r="A15" s="80" t="inlineStr">
        <is>
          <t>3A.6</t>
        </is>
      </c>
      <c r="B15" s="80" t="inlineStr">
        <is>
          <t>Internal doorset, 686 x 1,981 leaf, 32 x 125 lining set, stops, habitable rooms / stores / laundry</t>
        </is>
      </c>
      <c r="C15" s="80" t="inlineStr">
        <is>
          <t>nr</t>
        </is>
      </c>
      <c r="D15" s="109" t="n"/>
      <c r="E15" s="109" t="n"/>
      <c r="F15" s="109" t="n"/>
      <c r="G15" s="109" t="n">
        <v>1</v>
      </c>
      <c r="H15" s="95">
        <f>SUMPRODUCT($D$7:$G$7,D15:G15)</f>
        <v/>
      </c>
      <c r="I15" s="110" t="n"/>
      <c r="J15" s="110" t="n"/>
      <c r="K15" s="81">
        <f>N(H15)*N(I15)</f>
        <v/>
      </c>
      <c r="L15" s="81">
        <f>N(H15)*N(J15)</f>
        <v/>
      </c>
      <c r="M15" s="92">
        <f>K15+L15</f>
        <v/>
      </c>
      <c r="N15" s="111" t="inlineStr">
        <is>
          <t>GF-D06 (762)</t>
        </is>
      </c>
    </row>
    <row r="16" ht="26" customHeight="1">
      <c r="A16" s="80" t="inlineStr">
        <is>
          <t>3A.7</t>
        </is>
      </c>
      <c r="B16" s="80" t="inlineStr">
        <is>
          <t>Internal doorset, 610 x 1,981 leaf, 32 x 125 lining set, stops, habitable rooms / stores / laundry</t>
        </is>
      </c>
      <c r="C16" s="80" t="inlineStr">
        <is>
          <t>nr</t>
        </is>
      </c>
      <c r="D16" s="109" t="n"/>
      <c r="E16" s="109" t="n"/>
      <c r="F16" s="109" t="n"/>
      <c r="G16" s="109" t="n">
        <v>1</v>
      </c>
      <c r="H16" s="95">
        <f>SUMPRODUCT($D$7:$G$7,D16:G16)</f>
        <v/>
      </c>
      <c r="I16" s="110" t="n"/>
      <c r="J16" s="110" t="n"/>
      <c r="K16" s="81">
        <f>N(H16)*N(I16)</f>
        <v/>
      </c>
      <c r="L16" s="81">
        <f>N(H16)*N(J16)</f>
        <v/>
      </c>
      <c r="M16" s="92">
        <f>K16+L16</f>
        <v/>
      </c>
      <c r="N16" s="111" t="inlineStr">
        <is>
          <t>GF-D04 (680)</t>
        </is>
      </c>
    </row>
    <row r="17">
      <c r="A17" s="100" t="inlineStr">
        <is>
          <t>3B  Ironmongery (NRM2 24 / package JOI)</t>
        </is>
      </c>
    </row>
    <row r="18" ht="26" customHeight="1">
      <c r="A18" s="80" t="inlineStr">
        <is>
          <t>3B.1</t>
        </is>
      </c>
      <c r="B18" s="80" t="inlineStr">
        <is>
          <t>Butt hinges, 100 mm, pairs (1.5 pair per leaf; fire-rated on the garage doors)</t>
        </is>
      </c>
      <c r="C18" s="80" t="inlineStr">
        <is>
          <t>pr</t>
        </is>
      </c>
      <c r="D18" s="109" t="n"/>
      <c r="E18" s="109" t="n">
        <v>9</v>
      </c>
      <c r="F18" s="109" t="n"/>
      <c r="G18" s="109" t="n">
        <v>10.5</v>
      </c>
      <c r="H18" s="95">
        <f>SUMPRODUCT($D$7:$G$7,D18:G18)</f>
        <v/>
      </c>
      <c r="I18" s="110" t="n"/>
      <c r="J18" s="110" t="n"/>
      <c r="K18" s="81">
        <f>N(H18)*N(I18)</f>
        <v/>
      </c>
      <c r="L18" s="81">
        <f>N(H18)*N(J18)</f>
        <v/>
      </c>
      <c r="M18" s="92">
        <f>K18+L18</f>
        <v/>
      </c>
      <c r="N18" s="111" t="inlineStr">
        <is>
          <t>1.5 pr per leaf</t>
        </is>
      </c>
    </row>
    <row r="19" ht="15" customHeight="1">
      <c r="A19" s="80" t="inlineStr">
        <is>
          <t>3B.2</t>
        </is>
      </c>
      <c r="B19" s="80" t="inlineStr">
        <is>
          <t>Standard sets: tubular latch, lever pair on roses</t>
        </is>
      </c>
      <c r="C19" s="80" t="inlineStr">
        <is>
          <t>set</t>
        </is>
      </c>
      <c r="D19" s="109" t="n"/>
      <c r="E19" s="109" t="n">
        <v>4</v>
      </c>
      <c r="F19" s="109" t="n"/>
      <c r="G19" s="109" t="n">
        <v>4</v>
      </c>
      <c r="H19" s="95">
        <f>SUMPRODUCT($D$7:$G$7,D19:G19)</f>
        <v/>
      </c>
      <c r="I19" s="110" t="n"/>
      <c r="J19" s="110" t="n"/>
      <c r="K19" s="81">
        <f>N(H19)*N(I19)</f>
        <v/>
      </c>
      <c r="L19" s="81">
        <f>N(H19)*N(J19)</f>
        <v/>
      </c>
      <c r="M19" s="92">
        <f>K19+L19</f>
        <v/>
      </c>
      <c r="N19" s="111" t="inlineStr"/>
    </row>
    <row r="20" ht="26" customHeight="1">
      <c r="A20" s="80" t="inlineStr">
        <is>
          <t>3B.3</t>
        </is>
      </c>
      <c r="B20" s="80" t="inlineStr">
        <is>
          <t>Bathroom / WC sets: privacy lock, thumb-turn with emergency release, lever pair</t>
        </is>
      </c>
      <c r="C20" s="80" t="inlineStr">
        <is>
          <t>set</t>
        </is>
      </c>
      <c r="D20" s="109" t="n"/>
      <c r="E20" s="109" t="n"/>
      <c r="F20" s="109" t="n"/>
      <c r="G20" s="109" t="n">
        <v>3</v>
      </c>
      <c r="H20" s="95">
        <f>SUMPRODUCT($D$7:$G$7,D20:G20)</f>
        <v/>
      </c>
      <c r="I20" s="110" t="n"/>
      <c r="J20" s="110" t="n"/>
      <c r="K20" s="81">
        <f>N(H20)*N(I20)</f>
        <v/>
      </c>
      <c r="L20" s="81">
        <f>N(H20)*N(J20)</f>
        <v/>
      </c>
      <c r="M20" s="92">
        <f>K20+L20</f>
        <v/>
      </c>
      <c r="N20" s="111" t="inlineStr">
        <is>
          <t>Ensuites / cloaks</t>
        </is>
      </c>
    </row>
    <row r="21" ht="26" customHeight="1">
      <c r="A21" s="80" t="inlineStr">
        <is>
          <t>3B.4</t>
        </is>
      </c>
      <c r="B21" s="80" t="inlineStr">
        <is>
          <t>Fire door sets (garage doors): latch, lever pair, overhead closer, "Fire door keep shut" signs</t>
        </is>
      </c>
      <c r="C21" s="80" t="inlineStr">
        <is>
          <t>set</t>
        </is>
      </c>
      <c r="D21" s="109" t="n"/>
      <c r="E21" s="109" t="n">
        <v>2</v>
      </c>
      <c r="F21" s="109" t="n"/>
      <c r="G21" s="109" t="n"/>
      <c r="H21" s="95">
        <f>SUMPRODUCT($D$7:$G$7,D21:G21)</f>
        <v/>
      </c>
      <c r="I21" s="110" t="n"/>
      <c r="J21" s="110" t="n"/>
      <c r="K21" s="81">
        <f>N(H21)*N(I21)</f>
        <v/>
      </c>
      <c r="L21" s="81">
        <f>N(H21)*N(J21)</f>
        <v/>
      </c>
      <c r="M21" s="92">
        <f>K21+L21</f>
        <v/>
      </c>
      <c r="N21" s="111" t="inlineStr">
        <is>
          <t>Per the warrant</t>
        </is>
      </c>
    </row>
    <row r="22" ht="15" customHeight="1">
      <c r="A22" s="80" t="inlineStr">
        <is>
          <t>3B.5</t>
        </is>
      </c>
      <c r="B22" s="80" t="inlineStr">
        <is>
          <t>Door stops, floor or skirting mounted</t>
        </is>
      </c>
      <c r="C22" s="80" t="inlineStr">
        <is>
          <t>nr</t>
        </is>
      </c>
      <c r="D22" s="109" t="n"/>
      <c r="E22" s="109" t="n">
        <v>6</v>
      </c>
      <c r="F22" s="109" t="n"/>
      <c r="G22" s="109" t="n">
        <v>7</v>
      </c>
      <c r="H22" s="95">
        <f>SUMPRODUCT($D$7:$G$7,D22:G22)</f>
        <v/>
      </c>
      <c r="I22" s="110" t="n"/>
      <c r="J22" s="110" t="n"/>
      <c r="K22" s="81">
        <f>N(H22)*N(I22)</f>
        <v/>
      </c>
      <c r="L22" s="81">
        <f>N(H22)*N(J22)</f>
        <v/>
      </c>
      <c r="M22" s="92">
        <f>K22+L22</f>
        <v/>
      </c>
      <c r="N22" s="111" t="inlineStr">
        <is>
          <t>One per leaf</t>
        </is>
      </c>
    </row>
    <row r="23" ht="13" customHeight="1">
      <c r="B23" s="108" t="inlineStr">
        <is>
          <t>External doorsets, bi-folds, screens and the garage door are in Bill 8 (glazing / external doors).</t>
        </is>
      </c>
    </row>
    <row r="25" ht="20" customHeight="1">
      <c r="A25" s="91" t="inlineStr">
        <is>
          <t>PACKAGE SUMMARY  -  Bill 3  Internal Doors &amp; Ironmongery  (package JOI; amounts by others, excl. VAT)</t>
        </is>
      </c>
    </row>
    <row r="26" ht="30" customHeight="1">
      <c r="A26" s="79" t="inlineStr">
        <is>
          <t>Section</t>
        </is>
      </c>
      <c r="B26" s="79" t="inlineStr">
        <is>
          <t>Description</t>
        </is>
      </c>
      <c r="C26" s="97" t="n"/>
      <c r="D26" s="97" t="n"/>
      <c r="E26" s="97" t="n"/>
      <c r="F26" s="97" t="n"/>
      <c r="G26" s="97" t="n"/>
      <c r="H26" s="97" t="n"/>
      <c r="I26" s="97" t="n"/>
      <c r="J26" s="98" t="n"/>
      <c r="K26" s="79" t="inlineStr">
        <is>
          <t>Supply
£</t>
        </is>
      </c>
      <c r="L26" s="79" t="inlineStr">
        <is>
          <t>Install
£</t>
        </is>
      </c>
      <c r="M26" s="79" t="inlineStr">
        <is>
          <t>Total
£</t>
        </is>
      </c>
      <c r="N26" s="79" t="inlineStr"/>
    </row>
    <row r="27" ht="16" customHeight="1">
      <c r="A27" s="112" t="inlineStr">
        <is>
          <t>3A</t>
        </is>
      </c>
      <c r="B27" s="80" t="inlineStr">
        <is>
          <t>Internal doorsets (NRM2 24 / package JOI)</t>
        </is>
      </c>
      <c r="C27" s="86" t="n"/>
      <c r="D27" s="86" t="n"/>
      <c r="E27" s="86" t="n"/>
      <c r="F27" s="86" t="n"/>
      <c r="G27" s="86" t="n"/>
      <c r="H27" s="86" t="n"/>
      <c r="I27" s="86" t="n"/>
      <c r="J27" s="86" t="n"/>
      <c r="K27" s="81">
        <f>SUM(K9:K16)</f>
        <v/>
      </c>
      <c r="L27" s="81">
        <f>SUM(L9:L16)</f>
        <v/>
      </c>
      <c r="M27" s="92">
        <f>SUM(M9:M16)</f>
        <v/>
      </c>
    </row>
    <row r="28" ht="16" customHeight="1">
      <c r="A28" s="112" t="inlineStr">
        <is>
          <t>3B</t>
        </is>
      </c>
      <c r="B28" s="80" t="inlineStr">
        <is>
          <t>Ironmongery (NRM2 24 / package JOI)</t>
        </is>
      </c>
      <c r="C28" s="86" t="n"/>
      <c r="D28" s="86" t="n"/>
      <c r="E28" s="86" t="n"/>
      <c r="F28" s="86" t="n"/>
      <c r="G28" s="86" t="n"/>
      <c r="H28" s="86" t="n"/>
      <c r="I28" s="86" t="n"/>
      <c r="J28" s="86" t="n"/>
      <c r="K28" s="81">
        <f>SUM(K18:K23)</f>
        <v/>
      </c>
      <c r="L28" s="81">
        <f>SUM(L18:L23)</f>
        <v/>
      </c>
      <c r="M28" s="92">
        <f>SUM(M18:M23)</f>
        <v/>
      </c>
    </row>
    <row r="29" ht="20" customHeight="1">
      <c r="A29" s="113" t="inlineStr">
        <is>
          <t>PACKAGE TOTAL - Bill 3, carried to the Cover overview</t>
        </is>
      </c>
      <c r="K29" s="83">
        <f>SUM(K27:K28)</f>
        <v/>
      </c>
      <c r="L29" s="83">
        <f>SUM(L27:L28)</f>
        <v/>
      </c>
      <c r="M29" s="83">
        <f>SUM(M27:M28)</f>
        <v/>
      </c>
    </row>
    <row r="30" ht="24" customHeight="1">
      <c r="A30"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3">
    <mergeCell ref="A17:N17"/>
    <mergeCell ref="A8:N8"/>
    <mergeCell ref="C2:N2"/>
    <mergeCell ref="C1:N1"/>
    <mergeCell ref="B9:N9"/>
    <mergeCell ref="A4:N4"/>
    <mergeCell ref="B23:N23"/>
    <mergeCell ref="B28:J28"/>
    <mergeCell ref="A30:N30"/>
    <mergeCell ref="A25:N25"/>
    <mergeCell ref="B26:J26"/>
    <mergeCell ref="B27:J27"/>
    <mergeCell ref="A29:J29"/>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1:N32"/>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4 - Joinery - Skirtings, Architraves, Window Boards &amp; Stair</t>
        </is>
      </c>
    </row>
    <row r="2" ht="26" customHeight="1">
      <c r="C2" s="103" t="inlineStr">
        <is>
          <t>Second-fix joinery measured per level from the model wall faces and openings; the basement stair is a provisional item (not modelled).  [NRM2 22 / package JOI]</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4A  Skirtings (NRM2 22 / package JOI)</t>
        </is>
      </c>
    </row>
    <row r="9" ht="26" customHeight="1">
      <c r="B9" s="108" t="inlineStr">
        <is>
          <t>No room model: every lined wall face at floor level (ICF inner faces from the bottom course of the component export - floor-length GF windows and the bi-fold already net; partitions both faces) less internal door gaps (both faces) and the laundry door. Excluded: the garage and the pool hall (tiled - pool specialist). 18 x 119 MDF, profile by the client.</t>
        </is>
      </c>
    </row>
    <row r="10" ht="15" customHeight="1">
      <c r="A10" s="80" t="inlineStr">
        <is>
          <t>4A.1</t>
        </is>
      </c>
      <c r="B10" s="80" t="inlineStr">
        <is>
          <t>Skirting 18 x 119 MDF, primed, fixed to the linings</t>
        </is>
      </c>
      <c r="C10" s="80" t="inlineStr">
        <is>
          <t>m</t>
        </is>
      </c>
      <c r="D10" s="109" t="n"/>
      <c r="E10" s="109" t="n">
        <v>68.91500000000001</v>
      </c>
      <c r="F10" s="109" t="n"/>
      <c r="G10" s="109" t="n">
        <v>119.617</v>
      </c>
      <c r="H10" s="95">
        <f>SUMPRODUCT($D$7:$G$7,D10:G10)</f>
        <v/>
      </c>
      <c r="I10" s="110" t="n"/>
      <c r="J10" s="110" t="n"/>
      <c r="K10" s="81">
        <f>N(H10)*N(I10)</f>
        <v/>
      </c>
      <c r="L10" s="81">
        <f>N(H10)*N(J10)</f>
        <v/>
      </c>
      <c r="M10" s="92">
        <f>K10+L10</f>
        <v/>
      </c>
      <c r="N10" s="111" t="inlineStr">
        <is>
          <t>Order guide +10% = 207.4</t>
        </is>
      </c>
    </row>
    <row r="11">
      <c r="A11" s="100" t="inlineStr">
        <is>
          <t>4B  Architraves (NRM2 22 / package JOI)</t>
        </is>
      </c>
    </row>
    <row r="12" ht="13" customHeight="1">
      <c r="B12" s="108" t="inlineStr">
        <is>
          <t>Per face = 2 legs x 2150 + (opening + 2 x 70). Internal doors both faces; the bi-folds and the laundry door inside face only; GF windows are floor-length with plastered reveals (no architrave).</t>
        </is>
      </c>
    </row>
    <row r="13" ht="26" customHeight="1">
      <c r="A13" s="80" t="inlineStr">
        <is>
          <t>4B.1</t>
        </is>
      </c>
      <c r="B13" s="80" t="inlineStr">
        <is>
          <t>Architrave to internal doors, both faces, 18 x 69 (profile by the client)</t>
        </is>
      </c>
      <c r="C13" s="80" t="inlineStr">
        <is>
          <t>m</t>
        </is>
      </c>
      <c r="D13" s="109" t="n"/>
      <c r="E13" s="109" t="n">
        <v>63.332</v>
      </c>
      <c r="F13" s="109" t="n"/>
      <c r="G13" s="109" t="n">
        <v>72.874</v>
      </c>
      <c r="H13" s="95">
        <f>SUMPRODUCT($D$7:$G$7,D13:G13)</f>
        <v/>
      </c>
      <c r="I13" s="110" t="n"/>
      <c r="J13" s="110" t="n"/>
      <c r="K13" s="81">
        <f>N(H13)*N(I13)</f>
        <v/>
      </c>
      <c r="L13" s="81">
        <f>N(H13)*N(J13)</f>
        <v/>
      </c>
      <c r="M13" s="92">
        <f>K13+L13</f>
        <v/>
      </c>
      <c r="N13" s="111" t="inlineStr">
        <is>
          <t>Order guide +10% = 149.8</t>
        </is>
      </c>
    </row>
    <row r="14" ht="26" customHeight="1">
      <c r="A14" s="80" t="inlineStr">
        <is>
          <t>4B.2</t>
        </is>
      </c>
      <c r="B14" s="80" t="inlineStr">
        <is>
          <t>Architrave to the bi-folds (master suite, dining) and the laundry door, inside face</t>
        </is>
      </c>
      <c r="C14" s="80" t="inlineStr">
        <is>
          <t>m</t>
        </is>
      </c>
      <c r="D14" s="109" t="n"/>
      <c r="E14" s="109" t="n">
        <v>6.081</v>
      </c>
      <c r="F14" s="109" t="n"/>
      <c r="G14" s="109" t="n">
        <v>15.77</v>
      </c>
      <c r="H14" s="95">
        <f>SUMPRODUCT($D$7:$G$7,D14:G14)</f>
        <v/>
      </c>
      <c r="I14" s="110" t="n"/>
      <c r="J14" s="110" t="n"/>
      <c r="K14" s="81">
        <f>N(H14)*N(I14)</f>
        <v/>
      </c>
      <c r="L14" s="81">
        <f>N(H14)*N(J14)</f>
        <v/>
      </c>
      <c r="M14" s="92">
        <f>K14+L14</f>
        <v/>
      </c>
      <c r="N14" s="111" t="inlineStr">
        <is>
          <t>Order guide +10% = 24.0</t>
        </is>
      </c>
    </row>
    <row r="15">
      <c r="A15" s="100" t="inlineStr">
        <is>
          <t>4C  Window boards (NRM2 22 / package JOI)</t>
        </is>
      </c>
    </row>
    <row r="16" ht="13" customHeight="1">
      <c r="B16" s="108" t="inlineStr">
        <is>
          <t>Only the two high-level pool-hall windows have a sill above the floor (sill -1,236 = 2,064 above the basement FFL): board = opening + 2 x 50, depth 278 + 25. GF windows are floor-length (threshold, no board).</t>
        </is>
      </c>
    </row>
    <row r="17" ht="26" customHeight="1">
      <c r="A17" s="80" t="inlineStr">
        <is>
          <t>4C.1</t>
        </is>
      </c>
      <c r="B17" s="80" t="inlineStr">
        <is>
          <t>Window board 303 x 1,835 long, BL-W01 (pool hall: tiled cill alternative by the pool specialist)</t>
        </is>
      </c>
      <c r="C17" s="80" t="inlineStr">
        <is>
          <t>nr</t>
        </is>
      </c>
      <c r="D17" s="109" t="n"/>
      <c r="E17" s="109" t="n">
        <v>1</v>
      </c>
      <c r="F17" s="109" t="n"/>
      <c r="G17" s="109" t="n"/>
      <c r="H17" s="95">
        <f>SUMPRODUCT($D$7:$G$7,D17:G17)</f>
        <v/>
      </c>
      <c r="I17" s="110" t="n"/>
      <c r="J17" s="110" t="n"/>
      <c r="K17" s="81">
        <f>N(H17)*N(I17)</f>
        <v/>
      </c>
      <c r="L17" s="81">
        <f>N(H17)*N(J17)</f>
        <v/>
      </c>
      <c r="M17" s="92">
        <f>K17+L17</f>
        <v/>
      </c>
      <c r="N17" s="111" t="inlineStr"/>
    </row>
    <row r="18" ht="26" customHeight="1">
      <c r="A18" s="80" t="inlineStr">
        <is>
          <t>4C.2</t>
        </is>
      </c>
      <c r="B18" s="80" t="inlineStr">
        <is>
          <t>Window board 303 x 1,845 long, BL-W02 (pool hall: tiled cill alternative by the pool specialist)</t>
        </is>
      </c>
      <c r="C18" s="80" t="inlineStr">
        <is>
          <t>nr</t>
        </is>
      </c>
      <c r="D18" s="109" t="n"/>
      <c r="E18" s="109" t="n">
        <v>1</v>
      </c>
      <c r="F18" s="109" t="n"/>
      <c r="G18" s="109" t="n"/>
      <c r="H18" s="95">
        <f>SUMPRODUCT($D$7:$G$7,D18:G18)</f>
        <v/>
      </c>
      <c r="I18" s="110" t="n"/>
      <c r="J18" s="110" t="n"/>
      <c r="K18" s="81">
        <f>N(H18)*N(I18)</f>
        <v/>
      </c>
      <c r="L18" s="81">
        <f>N(H18)*N(J18)</f>
        <v/>
      </c>
      <c r="M18" s="92">
        <f>K18+L18</f>
        <v/>
      </c>
      <c r="N18" s="111" t="inlineStr"/>
    </row>
    <row r="19">
      <c r="A19" s="100" t="inlineStr">
        <is>
          <t>4D  Stairs and sundry joinery (NRM2 22 / package JOI)</t>
        </is>
      </c>
    </row>
    <row r="20" ht="39" customHeight="1">
      <c r="A20" s="80" t="inlineStr">
        <is>
          <t>4D.1</t>
        </is>
      </c>
      <c r="B20" s="80" t="inlineStr">
        <is>
          <t>Staircase basement to GF (rise ~3,300, beside the stair window BL-G04 / L1-G03b) incl. balustrade / handrail - NOT modelled, PROVISIONAL</t>
        </is>
      </c>
      <c r="C20" s="80" t="inlineStr">
        <is>
          <t>item</t>
        </is>
      </c>
      <c r="D20" s="109" t="n"/>
      <c r="E20" s="109" t="n"/>
      <c r="F20" s="109" t="n"/>
      <c r="G20" s="109" t="n"/>
      <c r="H20" s="95" t="n"/>
      <c r="I20" s="110" t="n"/>
      <c r="J20" s="110" t="n"/>
      <c r="K20" s="81">
        <f>IF(ISNUMBER(H20),H20,1)*N(I20)</f>
        <v/>
      </c>
      <c r="L20" s="81">
        <f>IF(ISNUMBER(H20),H20,1)*N(J20)</f>
        <v/>
      </c>
      <c r="M20" s="92">
        <f>K20+L20</f>
        <v/>
      </c>
      <c r="N20" s="111" t="inlineStr">
        <is>
          <t>Lump sum - the rate entered is the amount. By the stair manufacturer; Standard 4.3 (stairs) - architect</t>
        </is>
      </c>
    </row>
    <row r="21" ht="26" customHeight="1">
      <c r="A21" s="80" t="inlineStr">
        <is>
          <t>4D.2</t>
        </is>
      </c>
      <c r="B21" s="80" t="inlineStr">
        <is>
          <t>Guarding / balustrade to the stair well edge at GF (stair / entrance zone)</t>
        </is>
      </c>
      <c r="C21" s="80" t="inlineStr">
        <is>
          <t>item</t>
        </is>
      </c>
      <c r="D21" s="109" t="n"/>
      <c r="E21" s="109" t="n"/>
      <c r="F21" s="109" t="n"/>
      <c r="G21" s="109" t="n"/>
      <c r="H21" s="95" t="n"/>
      <c r="I21" s="110" t="n"/>
      <c r="J21" s="110" t="n"/>
      <c r="K21" s="81">
        <f>IF(ISNUMBER(H21),H21,1)*N(I21)</f>
        <v/>
      </c>
      <c r="L21" s="81">
        <f>IF(ISNUMBER(H21),H21,1)*N(J21)</f>
        <v/>
      </c>
      <c r="M21" s="92">
        <f>K21+L21</f>
        <v/>
      </c>
      <c r="N21" s="111" t="inlineStr">
        <is>
          <t>Lump sum - the rate entered is the amount. Length to the stair design</t>
        </is>
      </c>
    </row>
    <row r="22" ht="26" customHeight="1">
      <c r="A22" s="80" t="inlineStr">
        <is>
          <t>4D.3</t>
        </is>
      </c>
      <c r="B22" s="80" t="inlineStr">
        <is>
          <t>Boxings to services and pipe runs (framing, board, access panels)</t>
        </is>
      </c>
      <c r="C22" s="80" t="inlineStr">
        <is>
          <t>item</t>
        </is>
      </c>
      <c r="D22" s="109" t="n"/>
      <c r="E22" s="109" t="n"/>
      <c r="F22" s="109" t="n"/>
      <c r="G22" s="109" t="n"/>
      <c r="H22" s="95" t="n"/>
      <c r="I22" s="110" t="n"/>
      <c r="J22" s="110" t="n"/>
      <c r="K22" s="81">
        <f>IF(ISNUMBER(H22),H22,1)*N(I22)</f>
        <v/>
      </c>
      <c r="L22" s="81">
        <f>IF(ISNUMBER(H22),H22,1)*N(J22)</f>
        <v/>
      </c>
      <c r="M22" s="92">
        <f>K22+L22</f>
        <v/>
      </c>
      <c r="N22" s="111" t="inlineStr">
        <is>
          <t>Lump sum - the rate entered is the amount. Allowance - positions to the M&amp;E design</t>
        </is>
      </c>
    </row>
    <row r="23" ht="13" customHeight="1">
      <c r="B23" s="108" t="inlineStr">
        <is>
          <t>No loft hatch: the GF is vaulted to the ridge throughout (no loft void).</t>
        </is>
      </c>
    </row>
    <row r="25" ht="20" customHeight="1">
      <c r="A25" s="91" t="inlineStr">
        <is>
          <t>PACKAGE SUMMARY  -  Bill 4  Joinery - Skirtings, Architraves, Window Boards &amp; Stair  (package JOI; amounts by others, excl. VAT)</t>
        </is>
      </c>
    </row>
    <row r="26" ht="30" customHeight="1">
      <c r="A26" s="79" t="inlineStr">
        <is>
          <t>Section</t>
        </is>
      </c>
      <c r="B26" s="79" t="inlineStr">
        <is>
          <t>Description</t>
        </is>
      </c>
      <c r="C26" s="97" t="n"/>
      <c r="D26" s="97" t="n"/>
      <c r="E26" s="97" t="n"/>
      <c r="F26" s="97" t="n"/>
      <c r="G26" s="97" t="n"/>
      <c r="H26" s="97" t="n"/>
      <c r="I26" s="97" t="n"/>
      <c r="J26" s="98" t="n"/>
      <c r="K26" s="79" t="inlineStr">
        <is>
          <t>Supply
£</t>
        </is>
      </c>
      <c r="L26" s="79" t="inlineStr">
        <is>
          <t>Install
£</t>
        </is>
      </c>
      <c r="M26" s="79" t="inlineStr">
        <is>
          <t>Total
£</t>
        </is>
      </c>
      <c r="N26" s="79" t="inlineStr"/>
    </row>
    <row r="27" ht="16" customHeight="1">
      <c r="A27" s="112" t="inlineStr">
        <is>
          <t>4A</t>
        </is>
      </c>
      <c r="B27" s="80" t="inlineStr">
        <is>
          <t>Skirtings (NRM2 22 / package JOI)</t>
        </is>
      </c>
      <c r="C27" s="86" t="n"/>
      <c r="D27" s="86" t="n"/>
      <c r="E27" s="86" t="n"/>
      <c r="F27" s="86" t="n"/>
      <c r="G27" s="86" t="n"/>
      <c r="H27" s="86" t="n"/>
      <c r="I27" s="86" t="n"/>
      <c r="J27" s="86" t="n"/>
      <c r="K27" s="81">
        <f>SUM(K9:K10)</f>
        <v/>
      </c>
      <c r="L27" s="81">
        <f>SUM(L9:L10)</f>
        <v/>
      </c>
      <c r="M27" s="92">
        <f>SUM(M9:M10)</f>
        <v/>
      </c>
    </row>
    <row r="28" ht="16" customHeight="1">
      <c r="A28" s="112" t="inlineStr">
        <is>
          <t>4B</t>
        </is>
      </c>
      <c r="B28" s="80" t="inlineStr">
        <is>
          <t>Architraves (NRM2 22 / package JOI)</t>
        </is>
      </c>
      <c r="C28" s="86" t="n"/>
      <c r="D28" s="86" t="n"/>
      <c r="E28" s="86" t="n"/>
      <c r="F28" s="86" t="n"/>
      <c r="G28" s="86" t="n"/>
      <c r="H28" s="86" t="n"/>
      <c r="I28" s="86" t="n"/>
      <c r="J28" s="86" t="n"/>
      <c r="K28" s="81">
        <f>SUM(K12:K14)</f>
        <v/>
      </c>
      <c r="L28" s="81">
        <f>SUM(L12:L14)</f>
        <v/>
      </c>
      <c r="M28" s="92">
        <f>SUM(M12:M14)</f>
        <v/>
      </c>
    </row>
    <row r="29" ht="16" customHeight="1">
      <c r="A29" s="112" t="inlineStr">
        <is>
          <t>4C</t>
        </is>
      </c>
      <c r="B29" s="80" t="inlineStr">
        <is>
          <t>Window boards (NRM2 22 / package JOI)</t>
        </is>
      </c>
      <c r="C29" s="86" t="n"/>
      <c r="D29" s="86" t="n"/>
      <c r="E29" s="86" t="n"/>
      <c r="F29" s="86" t="n"/>
      <c r="G29" s="86" t="n"/>
      <c r="H29" s="86" t="n"/>
      <c r="I29" s="86" t="n"/>
      <c r="J29" s="86" t="n"/>
      <c r="K29" s="81">
        <f>SUM(K16:K18)</f>
        <v/>
      </c>
      <c r="L29" s="81">
        <f>SUM(L16:L18)</f>
        <v/>
      </c>
      <c r="M29" s="92">
        <f>SUM(M16:M18)</f>
        <v/>
      </c>
    </row>
    <row r="30" ht="16" customHeight="1">
      <c r="A30" s="112" t="inlineStr">
        <is>
          <t>4D</t>
        </is>
      </c>
      <c r="B30" s="80" t="inlineStr">
        <is>
          <t>Stairs and sundry joinery (NRM2 22 / package JOI)</t>
        </is>
      </c>
      <c r="C30" s="86" t="n"/>
      <c r="D30" s="86" t="n"/>
      <c r="E30" s="86" t="n"/>
      <c r="F30" s="86" t="n"/>
      <c r="G30" s="86" t="n"/>
      <c r="H30" s="86" t="n"/>
      <c r="I30" s="86" t="n"/>
      <c r="J30" s="86" t="n"/>
      <c r="K30" s="81">
        <f>SUM(K20:K23)</f>
        <v/>
      </c>
      <c r="L30" s="81">
        <f>SUM(L20:L23)</f>
        <v/>
      </c>
      <c r="M30" s="92">
        <f>SUM(M20:M23)</f>
        <v/>
      </c>
    </row>
    <row r="31" ht="20" customHeight="1">
      <c r="A31" s="113" t="inlineStr">
        <is>
          <t>PACKAGE TOTAL - Bill 4, carried to the Cover overview</t>
        </is>
      </c>
      <c r="K31" s="83">
        <f>SUM(K27:K30)</f>
        <v/>
      </c>
      <c r="L31" s="83">
        <f>SUM(L27:L30)</f>
        <v/>
      </c>
      <c r="M31" s="83">
        <f>SUM(M27:M30)</f>
        <v/>
      </c>
    </row>
    <row r="32" ht="24" customHeight="1">
      <c r="A32"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9">
    <mergeCell ref="C1:N1"/>
    <mergeCell ref="B9:N9"/>
    <mergeCell ref="A15:N15"/>
    <mergeCell ref="A11:N11"/>
    <mergeCell ref="B29:J29"/>
    <mergeCell ref="C2:N2"/>
    <mergeCell ref="A31:J31"/>
    <mergeCell ref="B28:J28"/>
    <mergeCell ref="A25:N25"/>
    <mergeCell ref="B16:N16"/>
    <mergeCell ref="B30:J30"/>
    <mergeCell ref="B12:N12"/>
    <mergeCell ref="B26:J26"/>
    <mergeCell ref="A32:N32"/>
    <mergeCell ref="A8:N8"/>
    <mergeCell ref="B23:N23"/>
    <mergeCell ref="A4:N4"/>
    <mergeCell ref="B27:J27"/>
    <mergeCell ref="A19:N19"/>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N44"/>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5 - Timber Stud Partitions (TLSTF) - Framing, Openings, Head Restraint &amp; Fixings</t>
        </is>
      </c>
    </row>
    <row r="2" ht="26" customHeight="1">
      <c r="C2" s="103" t="inlineStr">
        <is>
          <t>Non-loadbearing 38 x 89 C16 timber stud partitions from the TLSTF model (BF 8 walls 31.4 m / GF 20 walls 43.0 m = 74.4 m, 13 door openings); GF heads raked to the vault. Linings in Bill 2, doorsets in Bill 3.  [NRM2 16 / package JOI]</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5A  Timber stud partitions, non-loadbearing - framing (NRM2 16 / package JOI)</t>
        </is>
      </c>
    </row>
    <row r="9" ht="39" customHeight="1">
      <c r="B9" s="108" t="inlineStr">
        <is>
          <t>C16 softwood stud partitions as built in the TLSTF model (BF 8 walls 31.4 m / GF 20 walls 43.0 m = 74.4 m, 13 door openings): 38 x 89 studs at 600 c/c (400 in wet rooms), head and bottom rails, noggins. Basement: FFL -3,300 to 5 mm under the GF slab soffit (-325) - 2,975. GF: heads RAKED to 40 mm under the vaulted rafter soffit (z = 5,904.9 - |x - 3,781.6| - 40, KBP_rake_GF.json): 2,439 to 5,865 high - area from the rake profiles. Gross area, door openings NOT deducted (5C). GF studs up to ~5.8 m long: stud size / mid-height restraint of the tall raked walls to the designer.</t>
        </is>
      </c>
    </row>
    <row r="10" ht="26" customHeight="1">
      <c r="A10" s="80" t="inlineStr">
        <is>
          <t>5A.1</t>
        </is>
      </c>
      <c r="B10" s="80" t="inlineStr">
        <is>
          <t>Basement partitions (8 walls, 31.4 m): 38 x 89 C16 studs, head + bottom rails, noggins</t>
        </is>
      </c>
      <c r="C10" s="80" t="inlineStr">
        <is>
          <t>m2</t>
        </is>
      </c>
      <c r="D10" s="109" t="n"/>
      <c r="E10" s="109" t="n">
        <v>93.303</v>
      </c>
      <c r="F10" s="109" t="n"/>
      <c r="G10" s="109" t="n"/>
      <c r="H10" s="95">
        <f>SUMPRODUCT($D$7:$G$7,D10:G10)</f>
        <v/>
      </c>
      <c r="I10" s="110" t="n"/>
      <c r="J10" s="110" t="n"/>
      <c r="K10" s="81">
        <f>N(H10)*N(I10)</f>
        <v/>
      </c>
      <c r="L10" s="81">
        <f>N(H10)*N(J10)</f>
        <v/>
      </c>
      <c r="M10" s="92">
        <f>K10+L10</f>
        <v/>
      </c>
      <c r="N10" s="111" t="inlineStr">
        <is>
          <t>wall length x 2,975</t>
        </is>
      </c>
    </row>
    <row r="11" ht="26" customHeight="1">
      <c r="A11" s="80" t="inlineStr">
        <is>
          <t>5A.2</t>
        </is>
      </c>
      <c r="B11" s="80" t="inlineStr">
        <is>
          <t>GF (raked to the vault) partitions (20 walls, 43.0 m): 38 x 89 C16 studs, head + bottom rails, noggins</t>
        </is>
      </c>
      <c r="C11" s="80" t="inlineStr">
        <is>
          <t>m2</t>
        </is>
      </c>
      <c r="D11" s="109" t="n"/>
      <c r="E11" s="109" t="n"/>
      <c r="F11" s="109" t="n"/>
      <c r="G11" s="109" t="n">
        <v>200.934</v>
      </c>
      <c r="H11" s="95">
        <f>SUMPRODUCT($D$7:$G$7,D11:G11)</f>
        <v/>
      </c>
      <c r="I11" s="110" t="n"/>
      <c r="J11" s="110" t="n"/>
      <c r="K11" s="81">
        <f>N(H11)*N(I11)</f>
        <v/>
      </c>
      <c r="L11" s="81">
        <f>N(H11)*N(J11)</f>
        <v/>
      </c>
      <c r="M11" s="92">
        <f>K11+L11</f>
        <v/>
      </c>
      <c r="N11" s="111" t="inlineStr">
        <is>
          <t>integral of each wall's rake profile</t>
        </is>
      </c>
    </row>
    <row r="12">
      <c r="A12" s="100" t="inlineStr">
        <is>
          <t>5B  Partition timber - supply (NRM2 16 / package JOI)</t>
        </is>
      </c>
    </row>
    <row r="13" ht="39" customHeight="1">
      <c r="B13" s="108" t="inlineStr">
        <is>
          <t>ESTIMATE in linear metres of 38 x 89 C16 kiln-dried sawn softwood: studs from the TLSTF verify reports (stud counts x stud height; GF at each wall's mean raked height), bottom rails (door gaps cut out) + head rails (GF along the rake), noggin rows (1 basement; GF 1-3 by height) and 2 king studs + head per door. TLSTF members: basement 348, GF 727. Reconcile against the TLSTF construction extract before ordering. Supply only.</t>
        </is>
      </c>
    </row>
    <row r="14" ht="26" customHeight="1">
      <c r="A14" s="80" t="inlineStr">
        <is>
          <t>5B.1</t>
        </is>
      </c>
      <c r="B14" s="80" t="inlineStr">
        <is>
          <t>38 x 89 C16 kiln-dried sawn softwood: studs (TLSTF stud counts x height)</t>
        </is>
      </c>
      <c r="C14" s="80" t="inlineStr">
        <is>
          <t>m</t>
        </is>
      </c>
      <c r="D14" s="109" t="n"/>
      <c r="E14" s="109" t="n">
        <v>226.149</v>
      </c>
      <c r="F14" s="109" t="n"/>
      <c r="G14" s="109" t="n">
        <v>646.369</v>
      </c>
      <c r="H14" s="95">
        <f>SUMPRODUCT($D$7:$G$7,D14:G14)</f>
        <v/>
      </c>
      <c r="I14" s="110" t="n"/>
      <c r="J14" s="110" t="n"/>
      <c r="K14" s="81">
        <f>N(H14)*N(I14)</f>
        <v/>
      </c>
      <c r="L14" s="81">
        <f>N(H14)*N(J14)</f>
        <v/>
      </c>
      <c r="M14" s="92">
        <f>K14+L14</f>
        <v/>
      </c>
      <c r="N14" s="111" t="inlineStr">
        <is>
          <t>Estimate - see 5B note</t>
        </is>
      </c>
    </row>
    <row r="15" ht="26" customHeight="1">
      <c r="A15" s="80" t="inlineStr">
        <is>
          <t>5B.2</t>
        </is>
      </c>
      <c r="B15" s="80" t="inlineStr">
        <is>
          <t>38 x 89 C16 kiln-dried sawn softwood: bottom + head rails (GF heads along the rake)</t>
        </is>
      </c>
      <c r="C15" s="80" t="inlineStr">
        <is>
          <t>m</t>
        </is>
      </c>
      <c r="D15" s="109" t="n"/>
      <c r="E15" s="109" t="n">
        <v>57.699</v>
      </c>
      <c r="F15" s="109" t="n"/>
      <c r="G15" s="109" t="n">
        <v>90.017</v>
      </c>
      <c r="H15" s="95">
        <f>SUMPRODUCT($D$7:$G$7,D15:G15)</f>
        <v/>
      </c>
      <c r="I15" s="110" t="n"/>
      <c r="J15" s="110" t="n"/>
      <c r="K15" s="81">
        <f>N(H15)*N(I15)</f>
        <v/>
      </c>
      <c r="L15" s="81">
        <f>N(H15)*N(J15)</f>
        <v/>
      </c>
      <c r="M15" s="92">
        <f>K15+L15</f>
        <v/>
      </c>
      <c r="N15" s="111" t="inlineStr">
        <is>
          <t>Estimate - see 5B note</t>
        </is>
      </c>
    </row>
    <row r="16" ht="15" customHeight="1">
      <c r="A16" s="80" t="inlineStr">
        <is>
          <t>5B.3</t>
        </is>
      </c>
      <c r="B16" s="80" t="inlineStr">
        <is>
          <t>38 x 89 C16 kiln-dried sawn softwood: noggins</t>
        </is>
      </c>
      <c r="C16" s="80" t="inlineStr">
        <is>
          <t>m</t>
        </is>
      </c>
      <c r="D16" s="109" t="n"/>
      <c r="E16" s="109" t="n">
        <v>26.336</v>
      </c>
      <c r="F16" s="109" t="n"/>
      <c r="G16" s="109" t="n">
        <v>103.818</v>
      </c>
      <c r="H16" s="95">
        <f>SUMPRODUCT($D$7:$G$7,D16:G16)</f>
        <v/>
      </c>
      <c r="I16" s="110" t="n"/>
      <c r="J16" s="110" t="n"/>
      <c r="K16" s="81">
        <f>N(H16)*N(I16)</f>
        <v/>
      </c>
      <c r="L16" s="81">
        <f>N(H16)*N(J16)</f>
        <v/>
      </c>
      <c r="M16" s="92">
        <f>K16+L16</f>
        <v/>
      </c>
      <c r="N16" s="111" t="inlineStr">
        <is>
          <t>Estimate - see 5B note</t>
        </is>
      </c>
    </row>
    <row r="17" ht="26" customHeight="1">
      <c r="A17" s="80" t="inlineStr">
        <is>
          <t>5B.4</t>
        </is>
      </c>
      <c r="B17" s="80" t="inlineStr">
        <is>
          <t>38 x 89 C16 kiln-dried sawn softwood: king studs and heads at door openings</t>
        </is>
      </c>
      <c r="C17" s="80" t="inlineStr">
        <is>
          <t>m</t>
        </is>
      </c>
      <c r="D17" s="109" t="n"/>
      <c r="E17" s="109" t="n">
        <v>40.726</v>
      </c>
      <c r="F17" s="109" t="n"/>
      <c r="G17" s="109" t="n">
        <v>67.325</v>
      </c>
      <c r="H17" s="95">
        <f>SUMPRODUCT($D$7:$G$7,D17:G17)</f>
        <v/>
      </c>
      <c r="I17" s="110" t="n"/>
      <c r="J17" s="110" t="n"/>
      <c r="K17" s="81">
        <f>N(H17)*N(I17)</f>
        <v/>
      </c>
      <c r="L17" s="81">
        <f>N(H17)*N(J17)</f>
        <v/>
      </c>
      <c r="M17" s="92">
        <f>K17+L17</f>
        <v/>
      </c>
      <c r="N17" s="111" t="inlineStr">
        <is>
          <t>Estimate - see 5B note</t>
        </is>
      </c>
    </row>
    <row r="18" ht="26" customHeight="1">
      <c r="A18" s="114" t="inlineStr">
        <is>
          <t>5B.5</t>
        </is>
      </c>
      <c r="B18" s="114" t="inlineStr">
        <is>
          <t>38 x 89 C16 lengths to order (run +10%; basement 4.8 m, GF 6.0 m lengths for the tall raked studs)</t>
        </is>
      </c>
      <c r="C18" s="114" t="inlineStr">
        <is>
          <t>nr</t>
        </is>
      </c>
      <c r="D18" s="115" t="n"/>
      <c r="E18" s="115" t="n">
        <v>81</v>
      </c>
      <c r="F18" s="115" t="n"/>
      <c r="G18" s="115" t="n">
        <v>167</v>
      </c>
      <c r="H18" s="115">
        <f>SUMPRODUCT($D$7:$G$7,D18:G18)</f>
        <v/>
      </c>
      <c r="I18" s="116" t="n"/>
      <c r="J18" s="116" t="n"/>
      <c r="K18" s="116" t="n"/>
      <c r="L18" s="116" t="n"/>
      <c r="M18" s="117" t="inlineStr">
        <is>
          <t>not priced</t>
        </is>
      </c>
      <c r="N18" s="118" t="inlineStr">
        <is>
          <t>Ordering guide only - not priced in addition</t>
        </is>
      </c>
    </row>
    <row r="19">
      <c r="A19" s="100" t="inlineStr">
        <is>
          <t>5C  Forming door openings in partitions (NRM2 16 / package JOI)</t>
        </is>
      </c>
    </row>
    <row r="20" ht="13" customHeight="1">
      <c r="B20" s="108" t="inlineStr">
        <is>
          <t>From the TLSTF door report (13 openings). Per opening: 2 full-height king studs, head at ~2,100, cripples over, bottom rail cut out. Timber in 5B.</t>
        </is>
      </c>
    </row>
    <row r="21" ht="26" customHeight="1">
      <c r="A21" s="80" t="inlineStr">
        <is>
          <t>5C.1</t>
        </is>
      </c>
      <c r="B21" s="80" t="inlineStr">
        <is>
          <t>Form door opening 680 wide x ~2,100 high in the 89 partition</t>
        </is>
      </c>
      <c r="C21" s="80" t="inlineStr">
        <is>
          <t>nr</t>
        </is>
      </c>
      <c r="D21" s="109" t="n"/>
      <c r="E21" s="109" t="n"/>
      <c r="F21" s="109" t="n"/>
      <c r="G21" s="109" t="n">
        <v>3</v>
      </c>
      <c r="H21" s="95">
        <f>SUMPRODUCT($D$7:$G$7,D21:G21)</f>
        <v/>
      </c>
      <c r="I21" s="110" t="n"/>
      <c r="J21" s="110" t="n"/>
      <c r="K21" s="81">
        <f>N(H21)*N(I21)</f>
        <v/>
      </c>
      <c r="L21" s="81">
        <f>N(H21)*N(J21)</f>
        <v/>
      </c>
      <c r="M21" s="92">
        <f>K21+L21</f>
        <v/>
      </c>
      <c r="N21" s="111" t="inlineStr">
        <is>
          <t>Doorsets in Bill 3</t>
        </is>
      </c>
    </row>
    <row r="22" ht="26" customHeight="1">
      <c r="A22" s="80" t="inlineStr">
        <is>
          <t>5C.2</t>
        </is>
      </c>
      <c r="B22" s="80" t="inlineStr">
        <is>
          <t>Form door opening 762 wide x ~2,100 high in the 89 partition</t>
        </is>
      </c>
      <c r="C22" s="80" t="inlineStr">
        <is>
          <t>nr</t>
        </is>
      </c>
      <c r="D22" s="109" t="n"/>
      <c r="E22" s="109" t="n"/>
      <c r="F22" s="109" t="n"/>
      <c r="G22" s="109" t="n">
        <v>1</v>
      </c>
      <c r="H22" s="95">
        <f>SUMPRODUCT($D$7:$G$7,D22:G22)</f>
        <v/>
      </c>
      <c r="I22" s="110" t="n"/>
      <c r="J22" s="110" t="n"/>
      <c r="K22" s="81">
        <f>N(H22)*N(I22)</f>
        <v/>
      </c>
      <c r="L22" s="81">
        <f>N(H22)*N(J22)</f>
        <v/>
      </c>
      <c r="M22" s="92">
        <f>K22+L22</f>
        <v/>
      </c>
      <c r="N22" s="111" t="inlineStr">
        <is>
          <t>Doorsets in Bill 3</t>
        </is>
      </c>
    </row>
    <row r="23" ht="26" customHeight="1">
      <c r="A23" s="80" t="inlineStr">
        <is>
          <t>5C.3</t>
        </is>
      </c>
      <c r="B23" s="80" t="inlineStr">
        <is>
          <t>Form door opening 800 wide x ~2,100 high in the 89 partition</t>
        </is>
      </c>
      <c r="C23" s="80" t="inlineStr">
        <is>
          <t>nr</t>
        </is>
      </c>
      <c r="D23" s="109" t="n"/>
      <c r="E23" s="109" t="n">
        <v>1</v>
      </c>
      <c r="F23" s="109" t="n"/>
      <c r="G23" s="109" t="n"/>
      <c r="H23" s="95">
        <f>SUMPRODUCT($D$7:$G$7,D23:G23)</f>
        <v/>
      </c>
      <c r="I23" s="110" t="n"/>
      <c r="J23" s="110" t="n"/>
      <c r="K23" s="81">
        <f>N(H23)*N(I23)</f>
        <v/>
      </c>
      <c r="L23" s="81">
        <f>N(H23)*N(J23)</f>
        <v/>
      </c>
      <c r="M23" s="92">
        <f>K23+L23</f>
        <v/>
      </c>
      <c r="N23" s="111" t="inlineStr">
        <is>
          <t>Doorsets in Bill 3</t>
        </is>
      </c>
    </row>
    <row r="24" ht="26" customHeight="1">
      <c r="A24" s="80" t="inlineStr">
        <is>
          <t>5C.4</t>
        </is>
      </c>
      <c r="B24" s="80" t="inlineStr">
        <is>
          <t>Form door opening 830 wide x ~2,100 high in the 89 partition</t>
        </is>
      </c>
      <c r="C24" s="80" t="inlineStr">
        <is>
          <t>nr</t>
        </is>
      </c>
      <c r="D24" s="109" t="n"/>
      <c r="E24" s="109" t="n">
        <v>1</v>
      </c>
      <c r="F24" s="109" t="n"/>
      <c r="G24" s="109" t="n"/>
      <c r="H24" s="95">
        <f>SUMPRODUCT($D$7:$G$7,D24:G24)</f>
        <v/>
      </c>
      <c r="I24" s="110" t="n"/>
      <c r="J24" s="110" t="n"/>
      <c r="K24" s="81">
        <f>N(H24)*N(I24)</f>
        <v/>
      </c>
      <c r="L24" s="81">
        <f>N(H24)*N(J24)</f>
        <v/>
      </c>
      <c r="M24" s="92">
        <f>K24+L24</f>
        <v/>
      </c>
      <c r="N24" s="111" t="inlineStr">
        <is>
          <t>Doorsets in Bill 3</t>
        </is>
      </c>
    </row>
    <row r="25" ht="26" customHeight="1">
      <c r="A25" s="80" t="inlineStr">
        <is>
          <t>5C.5</t>
        </is>
      </c>
      <c r="B25" s="80" t="inlineStr">
        <is>
          <t>Form door opening 846 wide x ~2,100 high in the 89 partition</t>
        </is>
      </c>
      <c r="C25" s="80" t="inlineStr">
        <is>
          <t>nr</t>
        </is>
      </c>
      <c r="D25" s="109" t="n"/>
      <c r="E25" s="109" t="n">
        <v>1</v>
      </c>
      <c r="F25" s="109" t="n"/>
      <c r="G25" s="109" t="n"/>
      <c r="H25" s="95">
        <f>SUMPRODUCT($D$7:$G$7,D25:G25)</f>
        <v/>
      </c>
      <c r="I25" s="110" t="n"/>
      <c r="J25" s="110" t="n"/>
      <c r="K25" s="81">
        <f>N(H25)*N(I25)</f>
        <v/>
      </c>
      <c r="L25" s="81">
        <f>N(H25)*N(J25)</f>
        <v/>
      </c>
      <c r="M25" s="92">
        <f>K25+L25</f>
        <v/>
      </c>
      <c r="N25" s="111" t="inlineStr">
        <is>
          <t>Doorsets in Bill 3</t>
        </is>
      </c>
    </row>
    <row r="26" ht="26" customHeight="1">
      <c r="A26" s="80" t="inlineStr">
        <is>
          <t>5C.6</t>
        </is>
      </c>
      <c r="B26" s="80" t="inlineStr">
        <is>
          <t>Form door opening 850 wide x ~2,100 high in the 89 partition</t>
        </is>
      </c>
      <c r="C26" s="80" t="inlineStr">
        <is>
          <t>nr</t>
        </is>
      </c>
      <c r="D26" s="109" t="n"/>
      <c r="E26" s="109" t="n">
        <v>3</v>
      </c>
      <c r="F26" s="109" t="n"/>
      <c r="G26" s="109" t="n">
        <v>2</v>
      </c>
      <c r="H26" s="95">
        <f>SUMPRODUCT($D$7:$G$7,D26:G26)</f>
        <v/>
      </c>
      <c r="I26" s="110" t="n"/>
      <c r="J26" s="110" t="n"/>
      <c r="K26" s="81">
        <f>N(H26)*N(I26)</f>
        <v/>
      </c>
      <c r="L26" s="81">
        <f>N(H26)*N(J26)</f>
        <v/>
      </c>
      <c r="M26" s="92">
        <f>K26+L26</f>
        <v/>
      </c>
      <c r="N26" s="111" t="inlineStr">
        <is>
          <t>Doorsets in Bill 3</t>
        </is>
      </c>
    </row>
    <row r="27" ht="26" customHeight="1">
      <c r="A27" s="80" t="inlineStr">
        <is>
          <t>5C.7</t>
        </is>
      </c>
      <c r="B27" s="80" t="inlineStr">
        <is>
          <t>Form door opening 855 wide x ~2,100 high in the 89 partition</t>
        </is>
      </c>
      <c r="C27" s="80" t="inlineStr">
        <is>
          <t>nr</t>
        </is>
      </c>
      <c r="D27" s="109" t="n"/>
      <c r="E27" s="109" t="n"/>
      <c r="F27" s="109" t="n"/>
      <c r="G27" s="109" t="n">
        <v>1</v>
      </c>
      <c r="H27" s="95">
        <f>SUMPRODUCT($D$7:$G$7,D27:G27)</f>
        <v/>
      </c>
      <c r="I27" s="110" t="n"/>
      <c r="J27" s="110" t="n"/>
      <c r="K27" s="81">
        <f>N(H27)*N(I27)</f>
        <v/>
      </c>
      <c r="L27" s="81">
        <f>N(H27)*N(J27)</f>
        <v/>
      </c>
      <c r="M27" s="92">
        <f>K27+L27</f>
        <v/>
      </c>
      <c r="N27" s="111" t="inlineStr">
        <is>
          <t>Doorsets in Bill 3</t>
        </is>
      </c>
    </row>
    <row r="28">
      <c r="A28" s="100" t="inlineStr">
        <is>
          <t>5D  Head restraint, pattresses, acoustic and fixings (NRM2 16 / package JOI)</t>
        </is>
      </c>
    </row>
    <row r="29" ht="39" customHeight="1">
      <c r="B29" s="108" t="inlineStr">
        <is>
          <t>Basement heads: galvanised slotted deflection head clips to the GF slab soffit (TLSTF head-restraint report, 5 mm gap). GF heads are raked to the rafters: fix the head rail to the rafters / noggins between rafters (no report - estimated at 600 c/c along the rake). Bottom rails fixed to the slab / screed on a DPC strip. Pattresses: 18 WBP ply in the stud bays on the wet-room faces, 150-1,950 above floor (KBP pattress reports).</t>
        </is>
      </c>
    </row>
    <row r="30" ht="26" customHeight="1">
      <c r="A30" s="80" t="inlineStr">
        <is>
          <t>5D.1</t>
        </is>
      </c>
      <c r="B30" s="80" t="inlineStr">
        <is>
          <t>Slotted deflection head clip, galvanised, partition head to the GF slab soffit (product to confirm)</t>
        </is>
      </c>
      <c r="C30" s="80" t="inlineStr">
        <is>
          <t>nr</t>
        </is>
      </c>
      <c r="D30" s="109" t="n"/>
      <c r="E30" s="109" t="n">
        <v>122</v>
      </c>
      <c r="F30" s="109" t="n"/>
      <c r="G30" s="109" t="n"/>
      <c r="H30" s="95">
        <f>SUMPRODUCT($D$7:$G$7,D30:G30)</f>
        <v/>
      </c>
      <c r="I30" s="110" t="n"/>
      <c r="J30" s="110" t="n"/>
      <c r="K30" s="81">
        <f>N(H30)*N(I30)</f>
        <v/>
      </c>
      <c r="L30" s="81">
        <f>N(H30)*N(J30)</f>
        <v/>
      </c>
      <c r="M30" s="92">
        <f>K30+L30</f>
        <v/>
      </c>
      <c r="N30" s="111" t="inlineStr">
        <is>
          <t>TLSTF head-restraint report BF</t>
        </is>
      </c>
    </row>
    <row r="31" ht="26" customHeight="1">
      <c r="A31" s="80" t="inlineStr">
        <is>
          <t>5D.2</t>
        </is>
      </c>
      <c r="B31" s="80" t="inlineStr">
        <is>
          <t>Raked head rail fixed to the rafters / noggins between rafters (screws / angle brackets) at ~600 c/c</t>
        </is>
      </c>
      <c r="C31" s="80" t="inlineStr">
        <is>
          <t>nr</t>
        </is>
      </c>
      <c r="D31" s="109" t="n"/>
      <c r="E31" s="109" t="n"/>
      <c r="F31" s="109" t="n"/>
      <c r="G31" s="109" t="n">
        <v>88</v>
      </c>
      <c r="H31" s="95">
        <f>SUMPRODUCT($D$7:$G$7,D31:G31)</f>
        <v/>
      </c>
      <c r="I31" s="110" t="n"/>
      <c r="J31" s="110" t="n"/>
      <c r="K31" s="81">
        <f>N(H31)*N(I31)</f>
        <v/>
      </c>
      <c r="L31" s="81">
        <f>N(H31)*N(J31)</f>
        <v/>
      </c>
      <c r="M31" s="92">
        <f>K31+L31</f>
        <v/>
      </c>
      <c r="N31" s="111" t="inlineStr">
        <is>
          <t>Estimate along the rake profiles</t>
        </is>
      </c>
    </row>
    <row r="32" ht="26" customHeight="1">
      <c r="A32" s="80" t="inlineStr">
        <is>
          <t>5D.3</t>
        </is>
      </c>
      <c r="B32" s="80" t="inlineStr">
        <is>
          <t>Fix bottom rails to the slab / screed: concrete screws at max 600 c/c on a DPC strip</t>
        </is>
      </c>
      <c r="C32" s="80" t="inlineStr">
        <is>
          <t>m</t>
        </is>
      </c>
      <c r="D32" s="109" t="n"/>
      <c r="E32" s="109" t="n">
        <v>26.336</v>
      </c>
      <c r="F32" s="109" t="n"/>
      <c r="G32" s="109" t="n">
        <v>37.639</v>
      </c>
      <c r="H32" s="95">
        <f>SUMPRODUCT($D$7:$G$7,D32:G32)</f>
        <v/>
      </c>
      <c r="I32" s="110" t="n"/>
      <c r="J32" s="110" t="n"/>
      <c r="K32" s="81">
        <f>N(H32)*N(I32)</f>
        <v/>
      </c>
      <c r="L32" s="81">
        <f>N(H32)*N(J32)</f>
        <v/>
      </c>
      <c r="M32" s="92">
        <f>K32+L32</f>
        <v/>
      </c>
      <c r="N32" s="111" t="inlineStr">
        <is>
          <t>Bottom rail length (door gaps excluded)</t>
        </is>
      </c>
    </row>
    <row r="33" ht="26" customHeight="1">
      <c r="A33" s="80" t="inlineStr">
        <is>
          <t>5D.4</t>
        </is>
      </c>
      <c r="B33" s="80" t="inlineStr">
        <is>
          <t>18 mm WBP plywood pattress pieces between studs (wet-room faces: ensuites, cloaks, laundry)</t>
        </is>
      </c>
      <c r="C33" s="80" t="inlineStr">
        <is>
          <t>nr</t>
        </is>
      </c>
      <c r="D33" s="109" t="n"/>
      <c r="E33" s="109" t="n">
        <v>34</v>
      </c>
      <c r="F33" s="109" t="n"/>
      <c r="G33" s="109" t="n">
        <v>86</v>
      </c>
      <c r="H33" s="95">
        <f>SUMPRODUCT($D$7:$G$7,D33:G33)</f>
        <v/>
      </c>
      <c r="I33" s="110" t="n"/>
      <c r="J33" s="110" t="n"/>
      <c r="K33" s="81">
        <f>N(H33)*N(I33)</f>
        <v/>
      </c>
      <c r="L33" s="81">
        <f>N(H33)*N(J33)</f>
        <v/>
      </c>
      <c r="M33" s="92">
        <f>K33+L33</f>
        <v/>
      </c>
      <c r="N33" s="111" t="inlineStr">
        <is>
          <t>BL: laundry; L1: ensuite (master), cloaks, ensuite (bed 3)</t>
        </is>
      </c>
    </row>
    <row r="34" ht="39" customHeight="1">
      <c r="A34" s="80" t="inlineStr">
        <is>
          <t>5D.5</t>
        </is>
      </c>
      <c r="B34" s="80" t="inlineStr">
        <is>
          <t>Acoustic mineral wool quilt in the partition voids (bedrooms / bathrooms) where required by Standard 5.2 (noise reduction between rooms)</t>
        </is>
      </c>
      <c r="C34" s="80" t="inlineStr">
        <is>
          <t>item</t>
        </is>
      </c>
      <c r="D34" s="109" t="n"/>
      <c r="E34" s="109" t="n"/>
      <c r="F34" s="109" t="n"/>
      <c r="G34" s="109" t="n"/>
      <c r="H34" s="95" t="n"/>
      <c r="I34" s="110" t="n"/>
      <c r="J34" s="110" t="n"/>
      <c r="K34" s="81">
        <f>IF(ISNUMBER(H34),H34,1)*N(I34)</f>
        <v/>
      </c>
      <c r="L34" s="81">
        <f>IF(ISNUMBER(H34),H34,1)*N(J34)</f>
        <v/>
      </c>
      <c r="M34" s="92">
        <f>K34+L34</f>
        <v/>
      </c>
      <c r="N34" s="111" t="inlineStr">
        <is>
          <t>Lump sum - the rate entered is the amount. Allowance - architect</t>
        </is>
      </c>
    </row>
    <row r="35" ht="26" customHeight="1">
      <c r="A35" s="80" t="inlineStr">
        <is>
          <t>5D.6</t>
        </is>
      </c>
      <c r="B35" s="80" t="inlineStr">
        <is>
          <t>Nails, screws, framing fixings and sundries for the partition framing</t>
        </is>
      </c>
      <c r="C35" s="80" t="inlineStr">
        <is>
          <t>item</t>
        </is>
      </c>
      <c r="D35" s="109" t="n"/>
      <c r="E35" s="109" t="n"/>
      <c r="F35" s="109" t="n"/>
      <c r="G35" s="109" t="n"/>
      <c r="H35" s="95" t="n"/>
      <c r="I35" s="110" t="n"/>
      <c r="J35" s="110" t="n"/>
      <c r="K35" s="81">
        <f>IF(ISNUMBER(H35),H35,1)*N(I35)</f>
        <v/>
      </c>
      <c r="L35" s="81">
        <f>IF(ISNUMBER(H35),H35,1)*N(J35)</f>
        <v/>
      </c>
      <c r="M35" s="92">
        <f>K35+L35</f>
        <v/>
      </c>
      <c r="N35" s="111" t="inlineStr">
        <is>
          <t xml:space="preserve">Lump sum - the rate entered is the amount. </t>
        </is>
      </c>
    </row>
    <row r="37" ht="20" customHeight="1">
      <c r="A37" s="91" t="inlineStr">
        <is>
          <t>PACKAGE SUMMARY  -  Bill 5  Timber Stud Partitions (TLSTF) - Framing, Openings, Head Restraint &amp; Fixings  (package JOI; amounts by others, excl. VAT)</t>
        </is>
      </c>
    </row>
    <row r="38" ht="30" customHeight="1">
      <c r="A38" s="79" t="inlineStr">
        <is>
          <t>Section</t>
        </is>
      </c>
      <c r="B38" s="79" t="inlineStr">
        <is>
          <t>Description</t>
        </is>
      </c>
      <c r="C38" s="97" t="n"/>
      <c r="D38" s="97" t="n"/>
      <c r="E38" s="97" t="n"/>
      <c r="F38" s="97" t="n"/>
      <c r="G38" s="97" t="n"/>
      <c r="H38" s="97" t="n"/>
      <c r="I38" s="97" t="n"/>
      <c r="J38" s="98" t="n"/>
      <c r="K38" s="79" t="inlineStr">
        <is>
          <t>Supply
£</t>
        </is>
      </c>
      <c r="L38" s="79" t="inlineStr">
        <is>
          <t>Install
£</t>
        </is>
      </c>
      <c r="M38" s="79" t="inlineStr">
        <is>
          <t>Total
£</t>
        </is>
      </c>
      <c r="N38" s="79" t="inlineStr"/>
    </row>
    <row r="39" ht="16" customHeight="1">
      <c r="A39" s="112" t="inlineStr">
        <is>
          <t>5A</t>
        </is>
      </c>
      <c r="B39" s="80" t="inlineStr">
        <is>
          <t>Timber stud partitions, non-loadbearing - framing (NRM2 16 / package JOI)</t>
        </is>
      </c>
      <c r="C39" s="86" t="n"/>
      <c r="D39" s="86" t="n"/>
      <c r="E39" s="86" t="n"/>
      <c r="F39" s="86" t="n"/>
      <c r="G39" s="86" t="n"/>
      <c r="H39" s="86" t="n"/>
      <c r="I39" s="86" t="n"/>
      <c r="J39" s="86" t="n"/>
      <c r="K39" s="81">
        <f>SUM(K9:K11)</f>
        <v/>
      </c>
      <c r="L39" s="81">
        <f>SUM(L9:L11)</f>
        <v/>
      </c>
      <c r="M39" s="92">
        <f>SUM(M9:M11)</f>
        <v/>
      </c>
    </row>
    <row r="40" ht="16" customHeight="1">
      <c r="A40" s="112" t="inlineStr">
        <is>
          <t>5B</t>
        </is>
      </c>
      <c r="B40" s="80" t="inlineStr">
        <is>
          <t>Partition timber - supply (NRM2 16 / package JOI)</t>
        </is>
      </c>
      <c r="C40" s="86" t="n"/>
      <c r="D40" s="86" t="n"/>
      <c r="E40" s="86" t="n"/>
      <c r="F40" s="86" t="n"/>
      <c r="G40" s="86" t="n"/>
      <c r="H40" s="86" t="n"/>
      <c r="I40" s="86" t="n"/>
      <c r="J40" s="86" t="n"/>
      <c r="K40" s="81">
        <f>SUM(K13:K18)</f>
        <v/>
      </c>
      <c r="L40" s="81">
        <f>SUM(L13:L18)</f>
        <v/>
      </c>
      <c r="M40" s="92">
        <f>SUM(M13:M18)</f>
        <v/>
      </c>
    </row>
    <row r="41" ht="16" customHeight="1">
      <c r="A41" s="112" t="inlineStr">
        <is>
          <t>5C</t>
        </is>
      </c>
      <c r="B41" s="80" t="inlineStr">
        <is>
          <t>Forming door openings in partitions (NRM2 16 / package JOI)</t>
        </is>
      </c>
      <c r="C41" s="86" t="n"/>
      <c r="D41" s="86" t="n"/>
      <c r="E41" s="86" t="n"/>
      <c r="F41" s="86" t="n"/>
      <c r="G41" s="86" t="n"/>
      <c r="H41" s="86" t="n"/>
      <c r="I41" s="86" t="n"/>
      <c r="J41" s="86" t="n"/>
      <c r="K41" s="81">
        <f>SUM(K20:K27)</f>
        <v/>
      </c>
      <c r="L41" s="81">
        <f>SUM(L20:L27)</f>
        <v/>
      </c>
      <c r="M41" s="92">
        <f>SUM(M20:M27)</f>
        <v/>
      </c>
    </row>
    <row r="42" ht="16" customHeight="1">
      <c r="A42" s="112" t="inlineStr">
        <is>
          <t>5D</t>
        </is>
      </c>
      <c r="B42" s="80" t="inlineStr">
        <is>
          <t>Head restraint, pattresses, acoustic and fixings (NRM2 16 / package JOI)</t>
        </is>
      </c>
      <c r="C42" s="86" t="n"/>
      <c r="D42" s="86" t="n"/>
      <c r="E42" s="86" t="n"/>
      <c r="F42" s="86" t="n"/>
      <c r="G42" s="86" t="n"/>
      <c r="H42" s="86" t="n"/>
      <c r="I42" s="86" t="n"/>
      <c r="J42" s="86" t="n"/>
      <c r="K42" s="81">
        <f>SUM(K29:K35)</f>
        <v/>
      </c>
      <c r="L42" s="81">
        <f>SUM(L29:L35)</f>
        <v/>
      </c>
      <c r="M42" s="92">
        <f>SUM(M29:M35)</f>
        <v/>
      </c>
    </row>
    <row r="43" ht="20" customHeight="1">
      <c r="A43" s="113" t="inlineStr">
        <is>
          <t>PACKAGE TOTAL - Bill 5, carried to the Cover overview</t>
        </is>
      </c>
      <c r="K43" s="83">
        <f>SUM(K39:K42)</f>
        <v/>
      </c>
      <c r="L43" s="83">
        <f>SUM(L39:L42)</f>
        <v/>
      </c>
      <c r="M43" s="83">
        <f>SUM(M39:M42)</f>
        <v/>
      </c>
    </row>
    <row r="44" ht="24" customHeight="1">
      <c r="A44"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9">
    <mergeCell ref="C1:N1"/>
    <mergeCell ref="B9:N9"/>
    <mergeCell ref="B42:J42"/>
    <mergeCell ref="A43:J43"/>
    <mergeCell ref="B20:N20"/>
    <mergeCell ref="B38:J38"/>
    <mergeCell ref="C2:N2"/>
    <mergeCell ref="B40:J40"/>
    <mergeCell ref="A37:N37"/>
    <mergeCell ref="A12:N12"/>
    <mergeCell ref="B41:J41"/>
    <mergeCell ref="A8:N8"/>
    <mergeCell ref="A4:N4"/>
    <mergeCell ref="B13:N13"/>
    <mergeCell ref="A19:N19"/>
    <mergeCell ref="B29:N29"/>
    <mergeCell ref="A28:N28"/>
    <mergeCell ref="B39:J39"/>
    <mergeCell ref="A44:N44"/>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N34"/>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6 - Substructure &amp; Slabs - Pool Base, Raft, GF Slab, Floor Build-ups (coordination)</t>
        </is>
      </c>
    </row>
    <row r="2" ht="26" customHeight="1">
      <c r="C2" s="103" t="inlineStr">
        <is>
          <t>Coordination quantities for the engineer / groundworker / frame contractor: pool base, basement raft, GF suspended slab, floor build-ups (by others).  [NRM2 11 / package RCF / FLR]</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6A  RC base, raft and slabs (NRM2 11 - package RCF; by others - engineer; coordination quantities)</t>
        </is>
      </c>
    </row>
    <row r="9" ht="26" customHeight="1">
      <c r="B9" s="108" t="inlineStr">
        <is>
          <t>Volumes and areas are the model slab groups (04_Logs/build/floors.json from KB_slabs.json - ALL INDICATIVE, the engineer designs them). NOT in the Nudura price and NOT in the ICF BOQ Builder bill (which carries the ICF wall concrete only). Reinforcement at a provisional 100 kg/m3. Basement raft and pool base: water-resisting concrete (BS 8102 Type B) - see Bill 9.</t>
        </is>
      </c>
    </row>
    <row r="10" ht="15" customHeight="1">
      <c r="A10" s="80" t="inlineStr">
        <is>
          <t>6A.1</t>
        </is>
      </c>
      <c r="B10" s="80" t="inlineStr">
        <is>
          <t>Pool base, 300 RC, top -5,029 (under the ICF pool tank)</t>
        </is>
      </c>
      <c r="C10" s="80" t="inlineStr">
        <is>
          <t>m3</t>
        </is>
      </c>
      <c r="D10" s="109" t="n">
        <v>17.87</v>
      </c>
      <c r="E10" s="109" t="n"/>
      <c r="F10" s="109" t="n"/>
      <c r="G10" s="109" t="n"/>
      <c r="H10" s="95">
        <f>SUMPRODUCT($D$7:$G$7,D10:G10)</f>
        <v/>
      </c>
      <c r="I10" s="110" t="n"/>
      <c r="J10" s="110" t="n"/>
      <c r="K10" s="81">
        <f>N(H10)*N(I10)</f>
        <v/>
      </c>
      <c r="L10" s="81">
        <f>N(H10)*N(J10)</f>
        <v/>
      </c>
      <c r="M10" s="92">
        <f>K10+L10</f>
        <v/>
      </c>
      <c r="N10" s="111" t="inlineStr">
        <is>
          <t>59.58 m2</t>
        </is>
      </c>
    </row>
    <row r="11" ht="26" customHeight="1">
      <c r="A11" s="80" t="inlineStr">
        <is>
          <t>6A.2</t>
        </is>
      </c>
      <c r="B11" s="80" t="inlineStr">
        <is>
          <t>Basement raft, 300 RC, top -3,658, 300 toe, hole for the pool tank</t>
        </is>
      </c>
      <c r="C11" s="80" t="inlineStr">
        <is>
          <t>m3</t>
        </is>
      </c>
      <c r="D11" s="109" t="n"/>
      <c r="E11" s="109" t="n">
        <v>53.2</v>
      </c>
      <c r="F11" s="109" t="n"/>
      <c r="G11" s="109" t="n"/>
      <c r="H11" s="95">
        <f>SUMPRODUCT($D$7:$G$7,D11:G11)</f>
        <v/>
      </c>
      <c r="I11" s="110" t="n"/>
      <c r="J11" s="110" t="n"/>
      <c r="K11" s="81">
        <f>N(H11)*N(I11)</f>
        <v/>
      </c>
      <c r="L11" s="81">
        <f>N(H11)*N(J11)</f>
        <v/>
      </c>
      <c r="M11" s="92">
        <f>K11+L11</f>
        <v/>
      </c>
      <c r="N11" s="111" t="inlineStr">
        <is>
          <t>177.35 m2</t>
        </is>
      </c>
    </row>
    <row r="12" ht="39" customHeight="1">
      <c r="A12" s="80" t="inlineStr">
        <is>
          <t>6A.3</t>
        </is>
      </c>
      <c r="B12" s="80" t="inlineStr">
        <is>
          <t>GF suspended RC slab 250, top -75, over the basement, the pool and the 7.5 m garage (stair / entrance zone open)</t>
        </is>
      </c>
      <c r="C12" s="80" t="inlineStr">
        <is>
          <t>m3</t>
        </is>
      </c>
      <c r="D12" s="109" t="n"/>
      <c r="E12" s="109" t="n"/>
      <c r="F12" s="109" t="n"/>
      <c r="G12" s="109" t="n">
        <v>47.03</v>
      </c>
      <c r="H12" s="95">
        <f>SUMPRODUCT($D$7:$G$7,D12:G12)</f>
        <v/>
      </c>
      <c r="I12" s="110" t="n"/>
      <c r="J12" s="110" t="n"/>
      <c r="K12" s="81">
        <f>N(H12)*N(I12)</f>
        <v/>
      </c>
      <c r="L12" s="81">
        <f>N(H12)*N(J12)</f>
        <v/>
      </c>
      <c r="M12" s="92">
        <f>K12+L12</f>
        <v/>
      </c>
      <c r="N12" s="111" t="inlineStr">
        <is>
          <t>188.11 m2 - engineer (spans, posts on it)</t>
        </is>
      </c>
    </row>
    <row r="13" ht="39" customHeight="1">
      <c r="A13" s="80" t="inlineStr">
        <is>
          <t>6A.4</t>
        </is>
      </c>
      <c r="B13" s="80" t="inlineStr">
        <is>
          <t>Soffit falsework / propping to the GF slab (props ~3.0 m over the basement, ~4.7 m over the pool) incl. back-propping</t>
        </is>
      </c>
      <c r="C13" s="80" t="inlineStr">
        <is>
          <t>m2</t>
        </is>
      </c>
      <c r="D13" s="109" t="n"/>
      <c r="E13" s="109" t="n"/>
      <c r="F13" s="109" t="n"/>
      <c r="G13" s="109" t="n">
        <v>183.721</v>
      </c>
      <c r="H13" s="95">
        <f>SUMPRODUCT($D$7:$G$7,D13:G13)</f>
        <v/>
      </c>
      <c r="I13" s="110" t="n"/>
      <c r="J13" s="110" t="n"/>
      <c r="K13" s="81">
        <f>N(H13)*N(I13)</f>
        <v/>
      </c>
      <c r="L13" s="81">
        <f>N(H13)*N(J13)</f>
        <v/>
      </c>
      <c r="M13" s="92">
        <f>K13+L13</f>
        <v/>
      </c>
      <c r="N13" s="111" t="inlineStr">
        <is>
          <t>Basement 140.3 + pool hall 43.4 - PROVISIONAL</t>
        </is>
      </c>
    </row>
    <row r="14" ht="26" customHeight="1">
      <c r="A14" s="80" t="inlineStr">
        <is>
          <t>6A.5</t>
        </is>
      </c>
      <c r="B14" s="80" t="inlineStr">
        <is>
          <t>Edge formwork to the GF slab at the stair / entrance opening (250 deep)</t>
        </is>
      </c>
      <c r="C14" s="80" t="inlineStr">
        <is>
          <t>m2</t>
        </is>
      </c>
      <c r="D14" s="109" t="n"/>
      <c r="E14" s="109" t="n"/>
      <c r="F14" s="109" t="n"/>
      <c r="G14" s="109" t="n">
        <v>1.197</v>
      </c>
      <c r="H14" s="95">
        <f>SUMPRODUCT($D$7:$G$7,D14:G14)</f>
        <v/>
      </c>
      <c r="I14" s="110" t="n"/>
      <c r="J14" s="110" t="n"/>
      <c r="K14" s="81">
        <f>N(H14)*N(I14)</f>
        <v/>
      </c>
      <c r="L14" s="81">
        <f>N(H14)*N(J14)</f>
        <v/>
      </c>
      <c r="M14" s="92">
        <f>K14+L14</f>
        <v/>
      </c>
      <c r="N14" s="111" t="inlineStr">
        <is>
          <t>Other edges cast against the ICF inner face</t>
        </is>
      </c>
    </row>
    <row r="15" ht="26" customHeight="1">
      <c r="A15" s="80" t="inlineStr">
        <is>
          <t>6A.6</t>
        </is>
      </c>
      <c r="B15" s="80" t="inlineStr">
        <is>
          <t>Reinforcement to the base / raft / slabs, provisional 100 kg/m3, incl. starters into the ICF cores</t>
        </is>
      </c>
      <c r="C15" s="80" t="inlineStr">
        <is>
          <t>t</t>
        </is>
      </c>
      <c r="D15" s="109" t="n">
        <v>1.787</v>
      </c>
      <c r="E15" s="109" t="n">
        <v>5.32</v>
      </c>
      <c r="F15" s="109" t="n">
        <v>0.398</v>
      </c>
      <c r="G15" s="109" t="n">
        <v>4.703</v>
      </c>
      <c r="H15" s="95">
        <f>SUMPRODUCT($D$7:$G$7,D15:G15)</f>
        <v/>
      </c>
      <c r="I15" s="110" t="n"/>
      <c r="J15" s="110" t="n"/>
      <c r="K15" s="81">
        <f>N(H15)*N(I15)</f>
        <v/>
      </c>
      <c r="L15" s="81">
        <f>N(H15)*N(J15)</f>
        <v/>
      </c>
      <c r="M15" s="92">
        <f>K15+L15</f>
        <v/>
      </c>
      <c r="N15" s="111" t="inlineStr">
        <is>
          <t>PROVISIONAL - engineer</t>
        </is>
      </c>
    </row>
    <row r="16">
      <c r="A16" s="100" t="inlineStr">
        <is>
          <t>6B  Floor build-ups (NRM2 11 / 28 - package FLR; by others)</t>
        </is>
      </c>
    </row>
    <row r="17" ht="26" customHeight="1">
      <c r="A17" s="80" t="inlineStr">
        <is>
          <t>6B.1</t>
        </is>
      </c>
      <c r="B17" s="80" t="inlineStr">
        <is>
          <t>Basement floor: 150 PIR insulation on the raft (with the BS 8102 membrane / drainage layer per Bill 9)</t>
        </is>
      </c>
      <c r="C17" s="80" t="inlineStr">
        <is>
          <t>m2</t>
        </is>
      </c>
      <c r="D17" s="109" t="n"/>
      <c r="E17" s="109" t="n">
        <v>140.32</v>
      </c>
      <c r="F17" s="109" t="n"/>
      <c r="G17" s="109" t="n"/>
      <c r="H17" s="95">
        <f>SUMPRODUCT($D$7:$G$7,D17:G17)</f>
        <v/>
      </c>
      <c r="I17" s="110" t="n"/>
      <c r="J17" s="110" t="n"/>
      <c r="K17" s="81">
        <f>N(H17)*N(I17)</f>
        <v/>
      </c>
      <c r="L17" s="81">
        <f>N(H17)*N(J17)</f>
        <v/>
      </c>
      <c r="M17" s="92">
        <f>K17+L17</f>
        <v/>
      </c>
      <c r="N17" s="111" t="inlineStr">
        <is>
          <t>21.05 m3</t>
        </is>
      </c>
    </row>
    <row r="18" ht="26" customHeight="1">
      <c r="A18" s="80" t="inlineStr">
        <is>
          <t>6B.2</t>
        </is>
      </c>
      <c r="B18" s="80" t="inlineStr">
        <is>
          <t>Basement floor: UFH screed + levelling, 207.6 average to FFL -3,300 (UFH pipework by the M&amp;E contractor)</t>
        </is>
      </c>
      <c r="C18" s="80" t="inlineStr">
        <is>
          <t>m2</t>
        </is>
      </c>
      <c r="D18" s="109" t="n"/>
      <c r="E18" s="109" t="n">
        <v>140.32</v>
      </c>
      <c r="F18" s="109" t="n"/>
      <c r="G18" s="109" t="n"/>
      <c r="H18" s="95">
        <f>SUMPRODUCT($D$7:$G$7,D18:G18)</f>
        <v/>
      </c>
      <c r="I18" s="110" t="n"/>
      <c r="J18" s="110" t="n"/>
      <c r="K18" s="81">
        <f>N(H18)*N(I18)</f>
        <v/>
      </c>
      <c r="L18" s="81">
        <f>N(H18)*N(J18)</f>
        <v/>
      </c>
      <c r="M18" s="92">
        <f>K18+L18</f>
        <v/>
      </c>
      <c r="N18" s="111" t="inlineStr">
        <is>
          <t>29.13 m3</t>
        </is>
      </c>
    </row>
    <row r="19" ht="26" customHeight="1">
      <c r="A19" s="80" t="inlineStr">
        <is>
          <t>6B.3</t>
        </is>
      </c>
      <c r="B19" s="80" t="inlineStr">
        <is>
          <t>GF screed 75 on the suspended slab (UFH by M&amp;E if specified)</t>
        </is>
      </c>
      <c r="C19" s="80" t="inlineStr">
        <is>
          <t>m2</t>
        </is>
      </c>
      <c r="D19" s="109" t="n"/>
      <c r="E19" s="109" t="n"/>
      <c r="F19" s="109" t="n"/>
      <c r="G19" s="109" t="n">
        <v>188.11</v>
      </c>
      <c r="H19" s="95">
        <f>SUMPRODUCT($D$7:$G$7,D19:G19)</f>
        <v/>
      </c>
      <c r="I19" s="110" t="n"/>
      <c r="J19" s="110" t="n"/>
      <c r="K19" s="81">
        <f>N(H19)*N(I19)</f>
        <v/>
      </c>
      <c r="L19" s="81">
        <f>N(H19)*N(J19)</f>
        <v/>
      </c>
      <c r="M19" s="92">
        <f>K19+L19</f>
        <v/>
      </c>
      <c r="N19" s="111" t="inlineStr">
        <is>
          <t>14.11 m3</t>
        </is>
      </c>
    </row>
    <row r="20" ht="26" customHeight="1">
      <c r="A20" s="80" t="inlineStr">
        <is>
          <t>6B.4</t>
        </is>
      </c>
      <c r="B20" s="80" t="inlineStr">
        <is>
          <t>Master suite ground-bearing floor (inside the FB footing walls): 200 compacted hardcore</t>
        </is>
      </c>
      <c r="C20" s="80" t="inlineStr">
        <is>
          <t>m2</t>
        </is>
      </c>
      <c r="D20" s="109" t="n"/>
      <c r="E20" s="109" t="n"/>
      <c r="F20" s="109" t="n">
        <v>19.89</v>
      </c>
      <c r="G20" s="109" t="n"/>
      <c r="H20" s="95">
        <f>SUMPRODUCT($D$7:$G$7,D20:G20)</f>
        <v/>
      </c>
      <c r="I20" s="110" t="n"/>
      <c r="J20" s="110" t="n"/>
      <c r="K20" s="81">
        <f>N(H20)*N(I20)</f>
        <v/>
      </c>
      <c r="L20" s="81">
        <f>N(H20)*N(J20)</f>
        <v/>
      </c>
      <c r="M20" s="92">
        <f>K20+L20</f>
        <v/>
      </c>
      <c r="N20" s="111" t="inlineStr">
        <is>
          <t>3.98 m3</t>
        </is>
      </c>
    </row>
    <row r="21" ht="26" customHeight="1">
      <c r="A21" s="80" t="inlineStr">
        <is>
          <t>6B.5</t>
        </is>
      </c>
      <c r="B21" s="80" t="inlineStr">
        <is>
          <t>Master suite ground-bearing floor (inside the FB footing walls): 200 RC ground-bearing slab on DPM</t>
        </is>
      </c>
      <c r="C21" s="80" t="inlineStr">
        <is>
          <t>m2</t>
        </is>
      </c>
      <c r="D21" s="109" t="n"/>
      <c r="E21" s="109" t="n"/>
      <c r="F21" s="109" t="n">
        <v>19.89</v>
      </c>
      <c r="G21" s="109" t="n"/>
      <c r="H21" s="95">
        <f>SUMPRODUCT($D$7:$G$7,D21:G21)</f>
        <v/>
      </c>
      <c r="I21" s="110" t="n"/>
      <c r="J21" s="110" t="n"/>
      <c r="K21" s="81">
        <f>N(H21)*N(I21)</f>
        <v/>
      </c>
      <c r="L21" s="81">
        <f>N(H21)*N(J21)</f>
        <v/>
      </c>
      <c r="M21" s="92">
        <f>K21+L21</f>
        <v/>
      </c>
      <c r="N21" s="111" t="inlineStr">
        <is>
          <t>3.98 m3</t>
        </is>
      </c>
    </row>
    <row r="22" ht="26" customHeight="1">
      <c r="A22" s="80" t="inlineStr">
        <is>
          <t>6B.6</t>
        </is>
      </c>
      <c r="B22" s="80" t="inlineStr">
        <is>
          <t>Master suite ground-bearing floor (inside the FB footing walls): 135 PIR insulation</t>
        </is>
      </c>
      <c r="C22" s="80" t="inlineStr">
        <is>
          <t>m2</t>
        </is>
      </c>
      <c r="D22" s="109" t="n"/>
      <c r="E22" s="109" t="n"/>
      <c r="F22" s="109" t="n">
        <v>19.89</v>
      </c>
      <c r="G22" s="109" t="n"/>
      <c r="H22" s="95">
        <f>SUMPRODUCT($D$7:$G$7,D22:G22)</f>
        <v/>
      </c>
      <c r="I22" s="110" t="n"/>
      <c r="J22" s="110" t="n"/>
      <c r="K22" s="81">
        <f>N(H22)*N(I22)</f>
        <v/>
      </c>
      <c r="L22" s="81">
        <f>N(H22)*N(J22)</f>
        <v/>
      </c>
      <c r="M22" s="92">
        <f>K22+L22</f>
        <v/>
      </c>
      <c r="N22" s="111" t="inlineStr">
        <is>
          <t>2.69 m3</t>
        </is>
      </c>
    </row>
    <row r="23" ht="26" customHeight="1">
      <c r="A23" s="80" t="inlineStr">
        <is>
          <t>6B.7</t>
        </is>
      </c>
      <c r="B23" s="80" t="inlineStr">
        <is>
          <t>Master suite ground-bearing floor (inside the FB footing walls): 65 sand/cement screed</t>
        </is>
      </c>
      <c r="C23" s="80" t="inlineStr">
        <is>
          <t>m2</t>
        </is>
      </c>
      <c r="D23" s="109" t="n"/>
      <c r="E23" s="109" t="n"/>
      <c r="F23" s="109" t="n">
        <v>19.89</v>
      </c>
      <c r="G23" s="109" t="n"/>
      <c r="H23" s="95">
        <f>SUMPRODUCT($D$7:$G$7,D23:G23)</f>
        <v/>
      </c>
      <c r="I23" s="110" t="n"/>
      <c r="J23" s="110" t="n"/>
      <c r="K23" s="81">
        <f>N(H23)*N(I23)</f>
        <v/>
      </c>
      <c r="L23" s="81">
        <f>N(H23)*N(J23)</f>
        <v/>
      </c>
      <c r="M23" s="92">
        <f>K23+L23</f>
        <v/>
      </c>
      <c r="N23" s="111" t="inlineStr">
        <is>
          <t>1.29 m3</t>
        </is>
      </c>
    </row>
    <row r="24" ht="26" customHeight="1">
      <c r="A24" s="80" t="inlineStr">
        <is>
          <t>6B.8</t>
        </is>
      </c>
      <c r="B24" s="80" t="inlineStr">
        <is>
          <t>Master suite: DPM / gas membrane under the slab (per the site radon / ground-gas assessment)</t>
        </is>
      </c>
      <c r="C24" s="80" t="inlineStr">
        <is>
          <t>m2</t>
        </is>
      </c>
      <c r="D24" s="109" t="n"/>
      <c r="E24" s="109" t="n"/>
      <c r="F24" s="109" t="n">
        <v>19.89</v>
      </c>
      <c r="G24" s="109" t="n"/>
      <c r="H24" s="95">
        <f>SUMPRODUCT($D$7:$G$7,D24:G24)</f>
        <v/>
      </c>
      <c r="I24" s="110" t="n"/>
      <c r="J24" s="110" t="n"/>
      <c r="K24" s="81">
        <f>N(H24)*N(I24)</f>
        <v/>
      </c>
      <c r="L24" s="81">
        <f>N(H24)*N(J24)</f>
        <v/>
      </c>
      <c r="M24" s="92">
        <f>K24+L24</f>
        <v/>
      </c>
      <c r="N24" s="111" t="inlineStr">
        <is>
          <t>Lapped and sealed to the ICF</t>
        </is>
      </c>
    </row>
    <row r="25">
      <c r="A25" s="100" t="inlineStr">
        <is>
          <t>6C  Coordination</t>
        </is>
      </c>
    </row>
    <row r="26" ht="65" customHeight="1">
      <c r="A26" s="80" t="inlineStr">
        <is>
          <t>6C.1</t>
        </is>
      </c>
      <c r="B26" s="80" t="inlineStr">
        <is>
          <t>Ridge-post bearings on the GF slab (100 x 100 x 8 SHS at x 3,781.6, y 5,580, 9,008, 13,713): base plates, fixings and the point-load path - they land on the GF slab OVER THE POOL TANK (engineer: downstand / transfer or posts carried to the pool walls)</t>
        </is>
      </c>
      <c r="C26" s="80" t="inlineStr">
        <is>
          <t>nr</t>
        </is>
      </c>
      <c r="D26" s="109" t="n"/>
      <c r="E26" s="109" t="n"/>
      <c r="F26" s="109" t="n"/>
      <c r="G26" s="109" t="n">
        <v>3</v>
      </c>
      <c r="H26" s="95">
        <f>SUMPRODUCT($D$7:$G$7,D26:G26)</f>
        <v/>
      </c>
      <c r="I26" s="110" t="n"/>
      <c r="J26" s="110" t="n"/>
      <c r="K26" s="81">
        <f>N(H26)*N(I26)</f>
        <v/>
      </c>
      <c r="L26" s="81">
        <f>N(H26)*N(J26)</f>
        <v/>
      </c>
      <c r="M26" s="92">
        <f>K26+L26</f>
        <v/>
      </c>
      <c r="N26" s="111" t="inlineStr">
        <is>
          <t>ENGINEER - flag</t>
        </is>
      </c>
    </row>
    <row r="28" ht="20" customHeight="1">
      <c r="A28" s="91" t="inlineStr">
        <is>
          <t>PACKAGE SUMMARY  -  Bill 6  Substructure &amp; Slabs - Pool Base, Raft, GF Slab, Floor Build-ups (coordination)  (package RCF / FLR; amounts by others, excl. VAT)</t>
        </is>
      </c>
    </row>
    <row r="29" ht="30" customHeight="1">
      <c r="A29" s="79" t="inlineStr">
        <is>
          <t>Section</t>
        </is>
      </c>
      <c r="B29" s="79" t="inlineStr">
        <is>
          <t>Description</t>
        </is>
      </c>
      <c r="C29" s="97" t="n"/>
      <c r="D29" s="97" t="n"/>
      <c r="E29" s="97" t="n"/>
      <c r="F29" s="97" t="n"/>
      <c r="G29" s="97" t="n"/>
      <c r="H29" s="97" t="n"/>
      <c r="I29" s="97" t="n"/>
      <c r="J29" s="98" t="n"/>
      <c r="K29" s="79" t="inlineStr">
        <is>
          <t>Supply
£</t>
        </is>
      </c>
      <c r="L29" s="79" t="inlineStr">
        <is>
          <t>Install
£</t>
        </is>
      </c>
      <c r="M29" s="79" t="inlineStr">
        <is>
          <t>Total
£</t>
        </is>
      </c>
      <c r="N29" s="79" t="inlineStr"/>
    </row>
    <row r="30" ht="16" customHeight="1">
      <c r="A30" s="112" t="inlineStr">
        <is>
          <t>6A</t>
        </is>
      </c>
      <c r="B30" s="80" t="inlineStr">
        <is>
          <t>RC base, raft and slabs (NRM2 11 - package RCF; by others - engineer; coordination quantities)</t>
        </is>
      </c>
      <c r="C30" s="86" t="n"/>
      <c r="D30" s="86" t="n"/>
      <c r="E30" s="86" t="n"/>
      <c r="F30" s="86" t="n"/>
      <c r="G30" s="86" t="n"/>
      <c r="H30" s="86" t="n"/>
      <c r="I30" s="86" t="n"/>
      <c r="J30" s="86" t="n"/>
      <c r="K30" s="81">
        <f>SUM(K9:K15)</f>
        <v/>
      </c>
      <c r="L30" s="81">
        <f>SUM(L9:L15)</f>
        <v/>
      </c>
      <c r="M30" s="92">
        <f>SUM(M9:M15)</f>
        <v/>
      </c>
    </row>
    <row r="31" ht="16" customHeight="1">
      <c r="A31" s="112" t="inlineStr">
        <is>
          <t>6B</t>
        </is>
      </c>
      <c r="B31" s="80" t="inlineStr">
        <is>
          <t>Floor build-ups (NRM2 11 / 28 - package FLR; by others)</t>
        </is>
      </c>
      <c r="C31" s="86" t="n"/>
      <c r="D31" s="86" t="n"/>
      <c r="E31" s="86" t="n"/>
      <c r="F31" s="86" t="n"/>
      <c r="G31" s="86" t="n"/>
      <c r="H31" s="86" t="n"/>
      <c r="I31" s="86" t="n"/>
      <c r="J31" s="86" t="n"/>
      <c r="K31" s="81">
        <f>SUM(K17:K24)</f>
        <v/>
      </c>
      <c r="L31" s="81">
        <f>SUM(L17:L24)</f>
        <v/>
      </c>
      <c r="M31" s="92">
        <f>SUM(M17:M24)</f>
        <v/>
      </c>
    </row>
    <row r="32" ht="16" customHeight="1">
      <c r="A32" s="112" t="inlineStr">
        <is>
          <t>6C</t>
        </is>
      </c>
      <c r="B32" s="80" t="inlineStr">
        <is>
          <t>Coordination</t>
        </is>
      </c>
      <c r="C32" s="86" t="n"/>
      <c r="D32" s="86" t="n"/>
      <c r="E32" s="86" t="n"/>
      <c r="F32" s="86" t="n"/>
      <c r="G32" s="86" t="n"/>
      <c r="H32" s="86" t="n"/>
      <c r="I32" s="86" t="n"/>
      <c r="J32" s="86" t="n"/>
      <c r="K32" s="81">
        <f>SUM(K26:K26)</f>
        <v/>
      </c>
      <c r="L32" s="81">
        <f>SUM(L26:L26)</f>
        <v/>
      </c>
      <c r="M32" s="92">
        <f>SUM(M26:M26)</f>
        <v/>
      </c>
    </row>
    <row r="33" ht="20" customHeight="1">
      <c r="A33" s="113" t="inlineStr">
        <is>
          <t>PACKAGE TOTAL - Bill 6, carried to the Cover overview</t>
        </is>
      </c>
      <c r="K33" s="83">
        <f>SUM(K30:K32)</f>
        <v/>
      </c>
      <c r="L33" s="83">
        <f>SUM(L30:L32)</f>
        <v/>
      </c>
      <c r="M33" s="83">
        <f>SUM(M30:M32)</f>
        <v/>
      </c>
    </row>
    <row r="34" ht="24" customHeight="1">
      <c r="A34"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4">
    <mergeCell ref="B29:J29"/>
    <mergeCell ref="A8:N8"/>
    <mergeCell ref="C2:N2"/>
    <mergeCell ref="C1:N1"/>
    <mergeCell ref="B9:N9"/>
    <mergeCell ref="A4:N4"/>
    <mergeCell ref="A34:N34"/>
    <mergeCell ref="A16:N16"/>
    <mergeCell ref="B32:J32"/>
    <mergeCell ref="B31:J31"/>
    <mergeCell ref="A25:N25"/>
    <mergeCell ref="A28:N28"/>
    <mergeCell ref="B30:J30"/>
    <mergeCell ref="A33:J33"/>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N50"/>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7 - Vaulted Roof - Structure, Covering, Rainwater &amp; Insulation</t>
        </is>
      </c>
    </row>
    <row r="2" ht="26" customHeight="1">
      <c r="C2" s="103" t="inlineStr">
        <is>
          <t>Vaulted cut roof (63 x 220 C24 rafters on ridge beams + SHS posts), slate / tile covering, eaves, valley, rainwater, rooflights and the warm-vault insulation.  [NRM2 16 / 18 / package RFS / RFC]</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7A  Roof structure - vaulted cut roof (NRM2 16 - package RFS; roof designer / engineer)</t>
        </is>
      </c>
    </row>
    <row r="9" ht="52" customHeight="1">
      <c r="B9" s="108" t="inlineStr">
        <is>
          <t>Two 45 deg gable roofs with ridges along y, VAULTED with a ridge (Tom 20.10; KBS RoofStruct: system cut_ridge, rafters 63 x 220 C24 @ 600, heel auto; Douglas ~220 m AOD, snow zone 4 / vb 25.5 assumed). Roof L (wing + hall): ridge 120 x 400 GL24h on 5 bearings (gables + 3 SHS posts); Roof R (lounge + dining): 140 x 800 GL24h glulam ridge on 2 bearings over 12.3 m (special order; rear bearing = the glazed dining gable - engineer). RoofStruct built 109 + 81 members with 0 warnings; the rafter counts below are computed from the roof geometry (ridges x 3,781.6 / 11,210, valley x 7,461.6, eaves overhang 300, verge 150) - reconcile with the RoofStruct cutting list. Rooflights: 5 on the east slope of Roof L (east elevation; NOT modelled) - each trimmed with a double rafter each side and double trimmers (Tom 09.10).</t>
        </is>
      </c>
    </row>
    <row r="10" ht="39" customHeight="1">
      <c r="A10" s="80" t="inlineStr">
        <is>
          <t>7A.1</t>
        </is>
      </c>
      <c r="B10" s="80" t="inlineStr">
        <is>
          <t>Rafter 63 x 220 C24 @ 600, Roof L east slope (eaves to ridge): 5.61 m on the slope (birdsmouth on the plate / valley, cut to the ridge)</t>
        </is>
      </c>
      <c r="C10" s="80" t="inlineStr">
        <is>
          <t>nr</t>
        </is>
      </c>
      <c r="D10" s="109" t="n"/>
      <c r="E10" s="109" t="n"/>
      <c r="F10" s="109" t="n"/>
      <c r="G10" s="109" t="n">
        <v>35</v>
      </c>
      <c r="H10" s="95">
        <f>SUMPRODUCT($D$7:$G$7,D10:G10)</f>
        <v/>
      </c>
      <c r="I10" s="110" t="n"/>
      <c r="J10" s="110" t="n"/>
      <c r="K10" s="81">
        <f>N(H10)*N(I10)</f>
        <v/>
      </c>
      <c r="L10" s="81">
        <f>N(H10)*N(J10)</f>
        <v/>
      </c>
      <c r="M10" s="92">
        <f>K10+L10</f>
        <v/>
      </c>
      <c r="N10" s="111" t="inlineStr"/>
    </row>
    <row r="11" ht="39" customHeight="1">
      <c r="A11" s="80" t="inlineStr">
        <is>
          <t>7A.2</t>
        </is>
      </c>
      <c r="B11" s="80" t="inlineStr">
        <is>
          <t>Rafter 63 x 220 C24 @ 600, Roof L west slope to the valley: 5.05 m on the slope (birdsmouth on the plate / valley, cut to the ridge)</t>
        </is>
      </c>
      <c r="C11" s="80" t="inlineStr">
        <is>
          <t>nr</t>
        </is>
      </c>
      <c r="D11" s="109" t="n"/>
      <c r="E11" s="109" t="n"/>
      <c r="F11" s="109" t="n"/>
      <c r="G11" s="109" t="n">
        <v>19</v>
      </c>
      <c r="H11" s="95">
        <f>SUMPRODUCT($D$7:$G$7,D11:G11)</f>
        <v/>
      </c>
      <c r="I11" s="110" t="n"/>
      <c r="J11" s="110" t="n"/>
      <c r="K11" s="81">
        <f>N(H11)*N(I11)</f>
        <v/>
      </c>
      <c r="L11" s="81">
        <f>N(H11)*N(J11)</f>
        <v/>
      </c>
      <c r="M11" s="92">
        <f>K11+L11</f>
        <v/>
      </c>
      <c r="N11" s="111" t="inlineStr"/>
    </row>
    <row r="12" ht="39" customHeight="1">
      <c r="A12" s="80" t="inlineStr">
        <is>
          <t>7A.3</t>
        </is>
      </c>
      <c r="B12" s="80" t="inlineStr">
        <is>
          <t>Rafter 63 x 220 C24 @ 600, Roof L west slope to its eaves (outside Roof R): 5.33 m on the slope (birdsmouth on the plate / valley, cut to the ridge)</t>
        </is>
      </c>
      <c r="C12" s="80" t="inlineStr">
        <is>
          <t>nr</t>
        </is>
      </c>
      <c r="D12" s="109" t="n"/>
      <c r="E12" s="109" t="n"/>
      <c r="F12" s="109" t="n"/>
      <c r="G12" s="109" t="n">
        <v>16</v>
      </c>
      <c r="H12" s="95">
        <f>SUMPRODUCT($D$7:$G$7,D12:G12)</f>
        <v/>
      </c>
      <c r="I12" s="110" t="n"/>
      <c r="J12" s="110" t="n"/>
      <c r="K12" s="81">
        <f>N(H12)*N(I12)</f>
        <v/>
      </c>
      <c r="L12" s="81">
        <f>N(H12)*N(J12)</f>
        <v/>
      </c>
      <c r="M12" s="92">
        <f>K12+L12</f>
        <v/>
      </c>
      <c r="N12" s="111" t="inlineStr"/>
    </row>
    <row r="13" ht="39" customHeight="1">
      <c r="A13" s="80" t="inlineStr">
        <is>
          <t>7A.4</t>
        </is>
      </c>
      <c r="B13" s="80" t="inlineStr">
        <is>
          <t>Rafter 63 x 220 C24 @ 600, Roof R east slope (valley to ridge): 5.20 m on the slope (birdsmouth on the plate / valley, cut to the ridge)</t>
        </is>
      </c>
      <c r="C13" s="80" t="inlineStr">
        <is>
          <t>nr</t>
        </is>
      </c>
      <c r="D13" s="109" t="n"/>
      <c r="E13" s="109" t="n"/>
      <c r="F13" s="109" t="n"/>
      <c r="G13" s="109" t="n">
        <v>20</v>
      </c>
      <c r="H13" s="95">
        <f>SUMPRODUCT($D$7:$G$7,D13:G13)</f>
        <v/>
      </c>
      <c r="I13" s="110" t="n"/>
      <c r="J13" s="110" t="n"/>
      <c r="K13" s="81">
        <f>N(H13)*N(I13)</f>
        <v/>
      </c>
      <c r="L13" s="81">
        <f>N(H13)*N(J13)</f>
        <v/>
      </c>
      <c r="M13" s="92">
        <f>K13+L13</f>
        <v/>
      </c>
      <c r="N13" s="111" t="inlineStr"/>
    </row>
    <row r="14" ht="39" customHeight="1">
      <c r="A14" s="80" t="inlineStr">
        <is>
          <t>7A.5</t>
        </is>
      </c>
      <c r="B14" s="80" t="inlineStr">
        <is>
          <t>Rafter 63 x 220 C24 @ 600, Roof R west slope (eaves to ridge): 5.77 m on the slope (birdsmouth on the plate / valley, cut to the ridge)</t>
        </is>
      </c>
      <c r="C14" s="80" t="inlineStr">
        <is>
          <t>nr</t>
        </is>
      </c>
      <c r="D14" s="109" t="n"/>
      <c r="E14" s="109" t="n"/>
      <c r="F14" s="109" t="n"/>
      <c r="G14" s="109" t="n">
        <v>20</v>
      </c>
      <c r="H14" s="95">
        <f>SUMPRODUCT($D$7:$G$7,D14:G14)</f>
        <v/>
      </c>
      <c r="I14" s="110" t="n"/>
      <c r="J14" s="110" t="n"/>
      <c r="K14" s="81">
        <f>N(H14)*N(I14)</f>
        <v/>
      </c>
      <c r="L14" s="81">
        <f>N(H14)*N(J14)</f>
        <v/>
      </c>
      <c r="M14" s="92">
        <f>K14+L14</f>
        <v/>
      </c>
      <c r="N14" s="111" t="inlineStr"/>
    </row>
    <row r="15" ht="26" customHeight="1">
      <c r="A15" s="80" t="inlineStr">
        <is>
          <t>7A.6</t>
        </is>
      </c>
      <c r="B15" s="80" t="inlineStr">
        <is>
          <t>Additional rafter 63 x 220 C24 doubling each side of the 5 rooflights (5.61 m)</t>
        </is>
      </c>
      <c r="C15" s="80" t="inlineStr">
        <is>
          <t>nr</t>
        </is>
      </c>
      <c r="D15" s="109" t="n"/>
      <c r="E15" s="109" t="n"/>
      <c r="F15" s="109" t="n"/>
      <c r="G15" s="109" t="n">
        <v>10</v>
      </c>
      <c r="H15" s="95">
        <f>SUMPRODUCT($D$7:$G$7,D15:G15)</f>
        <v/>
      </c>
      <c r="I15" s="110" t="n"/>
      <c r="J15" s="110" t="n"/>
      <c r="K15" s="81">
        <f>N(H15)*N(I15)</f>
        <v/>
      </c>
      <c r="L15" s="81">
        <f>N(H15)*N(J15)</f>
        <v/>
      </c>
      <c r="M15" s="92">
        <f>K15+L15</f>
        <v/>
      </c>
      <c r="N15" s="111" t="inlineStr">
        <is>
          <t>Tom 09.10 roof-window rule</t>
        </is>
      </c>
    </row>
    <row r="16" ht="15" customHeight="1">
      <c r="A16" s="119" t="inlineStr">
        <is>
          <t>7A.7</t>
        </is>
      </c>
      <c r="B16" s="119" t="inlineStr">
        <is>
          <t>Rafters 63 x 220 C24 - total length (all of the above)</t>
        </is>
      </c>
      <c r="C16" s="119" t="inlineStr">
        <is>
          <t>m</t>
        </is>
      </c>
      <c r="D16" s="120" t="n"/>
      <c r="E16" s="120" t="n"/>
      <c r="F16" s="120" t="n"/>
      <c r="G16" s="120" t="n">
        <v>653.104</v>
      </c>
      <c r="H16" s="120">
        <f>SUMPRODUCT($D$7:$G$7,D16:G16)</f>
        <v/>
      </c>
      <c r="I16" s="121" t="n"/>
      <c r="J16" s="121" t="n"/>
      <c r="K16" s="121" t="n"/>
      <c r="L16" s="121" t="n"/>
      <c r="M16" s="117" t="inlineStr">
        <is>
          <t>not priced</t>
        </is>
      </c>
      <c r="N16" s="122" t="inlineStr">
        <is>
          <t>Order guide +10% = 718.4</t>
        </is>
      </c>
    </row>
    <row r="17" ht="26" customHeight="1">
      <c r="A17" s="80" t="inlineStr">
        <is>
          <t>7A.8</t>
        </is>
      </c>
      <c r="B17" s="80" t="inlineStr">
        <is>
          <t>Double trimmers 63 x 220 C24 at the rooflight heads and sills (4 pieces per rooflight, ~0.65 m)</t>
        </is>
      </c>
      <c r="C17" s="80" t="inlineStr">
        <is>
          <t>nr</t>
        </is>
      </c>
      <c r="D17" s="109" t="n"/>
      <c r="E17" s="109" t="n"/>
      <c r="F17" s="109" t="n"/>
      <c r="G17" s="109" t="n">
        <v>20</v>
      </c>
      <c r="H17" s="95">
        <f>SUMPRODUCT($D$7:$G$7,D17:G17)</f>
        <v/>
      </c>
      <c r="I17" s="110" t="n"/>
      <c r="J17" s="110" t="n"/>
      <c r="K17" s="81">
        <f>N(H17)*N(I17)</f>
        <v/>
      </c>
      <c r="L17" s="81">
        <f>N(H17)*N(J17)</f>
        <v/>
      </c>
      <c r="M17" s="92">
        <f>K17+L17</f>
        <v/>
      </c>
      <c r="N17" s="111" t="inlineStr"/>
    </row>
    <row r="18" ht="39" customHeight="1">
      <c r="A18" s="80" t="inlineStr">
        <is>
          <t>7A.9</t>
        </is>
      </c>
      <c r="B18" s="80" t="inlineStr">
        <is>
          <t>Roof L ridge beam 120 x 400 GL24h glulam, ~20.7 m on the two gables + 3 SHS posts (continuous over 5 bearings - delivery length / splice per the engineer)</t>
        </is>
      </c>
      <c r="C18" s="80" t="inlineStr">
        <is>
          <t>nr</t>
        </is>
      </c>
      <c r="D18" s="109" t="n"/>
      <c r="E18" s="109" t="n"/>
      <c r="F18" s="109" t="n"/>
      <c r="G18" s="109" t="n">
        <v>1</v>
      </c>
      <c r="H18" s="95">
        <f>SUMPRODUCT($D$7:$G$7,D18:G18)</f>
        <v/>
      </c>
      <c r="I18" s="110" t="n"/>
      <c r="J18" s="110" t="n"/>
      <c r="K18" s="81">
        <f>N(H18)*N(I18)</f>
        <v/>
      </c>
      <c r="L18" s="81">
        <f>N(H18)*N(J18)</f>
        <v/>
      </c>
      <c r="M18" s="92">
        <f>K18+L18</f>
        <v/>
      </c>
      <c r="N18" s="111" t="inlineStr">
        <is>
          <t>ENGINEER - 20.7 m piece: splice over a post if not deliverable</t>
        </is>
      </c>
    </row>
    <row r="19" ht="39" customHeight="1">
      <c r="A19" s="80" t="inlineStr">
        <is>
          <t>7A.10</t>
        </is>
      </c>
      <c r="B19" s="80" t="inlineStr">
        <is>
          <t>Roof R ridge beam 140 x 800 GL24h glulam, ~12.3 m, bearing on the lounge front gable and the glazed dining gable (special order)</t>
        </is>
      </c>
      <c r="C19" s="80" t="inlineStr">
        <is>
          <t>nr</t>
        </is>
      </c>
      <c r="D19" s="109" t="n"/>
      <c r="E19" s="109" t="n"/>
      <c r="F19" s="109" t="n"/>
      <c r="G19" s="109" t="n">
        <v>1</v>
      </c>
      <c r="H19" s="95">
        <f>SUMPRODUCT($D$7:$G$7,D19:G19)</f>
        <v/>
      </c>
      <c r="I19" s="110" t="n"/>
      <c r="J19" s="110" t="n"/>
      <c r="K19" s="81">
        <f>N(H19)*N(I19)</f>
        <v/>
      </c>
      <c r="L19" s="81">
        <f>N(H19)*N(J19)</f>
        <v/>
      </c>
      <c r="M19" s="92">
        <f>K19+L19</f>
        <v/>
      </c>
      <c r="N19" s="111" t="inlineStr">
        <is>
          <t>ENGINEER - rear bearing on the glazed gable</t>
        </is>
      </c>
    </row>
    <row r="20" ht="39" customHeight="1">
      <c r="A20" s="80" t="inlineStr">
        <is>
          <t>7A.11</t>
        </is>
      </c>
      <c r="B20" s="80" t="inlineStr">
        <is>
          <t>Steel ridge posts 100 x 100 x 8 SHS, 5,891 long (GF slab -75 to the ridge soffit 5,816), base + cap plates, fire protection where exposed</t>
        </is>
      </c>
      <c r="C20" s="80" t="inlineStr">
        <is>
          <t>nr</t>
        </is>
      </c>
      <c r="D20" s="109" t="n"/>
      <c r="E20" s="109" t="n"/>
      <c r="F20" s="109" t="n"/>
      <c r="G20" s="109" t="n">
        <v>3</v>
      </c>
      <c r="H20" s="95">
        <f>SUMPRODUCT($D$7:$G$7,D20:G20)</f>
        <v/>
      </c>
      <c r="I20" s="110" t="n"/>
      <c r="J20" s="110" t="n"/>
      <c r="K20" s="81">
        <f>N(H20)*N(I20)</f>
        <v/>
      </c>
      <c r="L20" s="81">
        <f>N(H20)*N(J20)</f>
        <v/>
      </c>
      <c r="M20" s="92">
        <f>K20+L20</f>
        <v/>
      </c>
      <c r="N20" s="111" t="inlineStr">
        <is>
          <t>In the wing partitions (y 5,580 / 9,008 / 13,713)</t>
        </is>
      </c>
    </row>
    <row r="21" ht="26" customHeight="1">
      <c r="A21" s="80" t="inlineStr">
        <is>
          <t>7A.12</t>
        </is>
      </c>
      <c r="B21" s="80" t="inlineStr">
        <is>
          <t>Wall plate on the ICF eaves walls (wing east, block west, stair pier), bedded and anchored to the ICF core</t>
        </is>
      </c>
      <c r="C21" s="80" t="inlineStr">
        <is>
          <t>m</t>
        </is>
      </c>
      <c r="D21" s="109" t="n"/>
      <c r="E21" s="109" t="n"/>
      <c r="F21" s="109" t="n"/>
      <c r="G21" s="109" t="n">
        <v>32.086</v>
      </c>
      <c r="H21" s="95">
        <f>SUMPRODUCT($D$7:$G$7,D21:G21)</f>
        <v/>
      </c>
      <c r="I21" s="110" t="n"/>
      <c r="J21" s="110" t="n"/>
      <c r="K21" s="81">
        <f>N(H21)*N(I21)</f>
        <v/>
      </c>
      <c r="L21" s="81">
        <f>N(H21)*N(J21)</f>
        <v/>
      </c>
      <c r="M21" s="92">
        <f>K21+L21</f>
        <v/>
      </c>
      <c r="N21" s="111" t="inlineStr">
        <is>
          <t>Order guide +10% = 35.3</t>
        </is>
      </c>
    </row>
    <row r="22" ht="26" customHeight="1">
      <c r="A22" s="80" t="inlineStr">
        <is>
          <t>7A.13</t>
        </is>
      </c>
      <c r="B22" s="80" t="inlineStr">
        <is>
          <t>Holding-down straps / anchor bolts, wall plate to the ICF, at ~1.2 m c/c</t>
        </is>
      </c>
      <c r="C22" s="80" t="inlineStr">
        <is>
          <t>nr</t>
        </is>
      </c>
      <c r="D22" s="109" t="n"/>
      <c r="E22" s="109" t="n"/>
      <c r="F22" s="109" t="n"/>
      <c r="G22" s="109" t="n">
        <v>33</v>
      </c>
      <c r="H22" s="95">
        <f>SUMPRODUCT($D$7:$G$7,D22:G22)</f>
        <v/>
      </c>
      <c r="I22" s="110" t="n"/>
      <c r="J22" s="110" t="n"/>
      <c r="K22" s="81">
        <f>N(H22)*N(I22)</f>
        <v/>
      </c>
      <c r="L22" s="81">
        <f>N(H22)*N(J22)</f>
        <v/>
      </c>
      <c r="M22" s="92">
        <f>K22+L22</f>
        <v/>
      </c>
      <c r="N22" s="111" t="inlineStr">
        <is>
          <t>Spacing per the engineer</t>
        </is>
      </c>
    </row>
    <row r="23" ht="26" customHeight="1">
      <c r="A23" s="80" t="inlineStr">
        <is>
          <t>7A.14</t>
        </is>
      </c>
      <c r="B23" s="80" t="inlineStr">
        <is>
          <t>Gable ladders at the verges (150 verge) incl. fixings to the gable</t>
        </is>
      </c>
      <c r="C23" s="80" t="inlineStr">
        <is>
          <t>m</t>
        </is>
      </c>
      <c r="D23" s="109" t="n"/>
      <c r="E23" s="109" t="n"/>
      <c r="F23" s="109" t="n"/>
      <c r="G23" s="109" t="n">
        <v>44.854</v>
      </c>
      <c r="H23" s="95">
        <f>SUMPRODUCT($D$7:$G$7,D23:G23)</f>
        <v/>
      </c>
      <c r="I23" s="110" t="n"/>
      <c r="J23" s="110" t="n"/>
      <c r="K23" s="81">
        <f>N(H23)*N(I23)</f>
        <v/>
      </c>
      <c r="L23" s="81">
        <f>N(H23)*N(J23)</f>
        <v/>
      </c>
      <c r="M23" s="92">
        <f>K23+L23</f>
        <v/>
      </c>
      <c r="N23" s="111" t="inlineStr">
        <is>
          <t>4 gable ends (front + rear of both roofs)</t>
        </is>
      </c>
    </row>
    <row r="24" ht="26" customHeight="1">
      <c r="A24" s="80" t="inlineStr">
        <is>
          <t>7A.15</t>
        </is>
      </c>
      <c r="B24" s="80" t="inlineStr">
        <is>
          <t>Valley between Roof L and Roof R (x 7,461.6): valley boards / lay boards and support</t>
        </is>
      </c>
      <c r="C24" s="80" t="inlineStr">
        <is>
          <t>m</t>
        </is>
      </c>
      <c r="D24" s="109" t="n"/>
      <c r="E24" s="109" t="n"/>
      <c r="F24" s="109" t="n"/>
      <c r="G24" s="109" t="n">
        <v>11.955</v>
      </c>
      <c r="H24" s="95">
        <f>SUMPRODUCT($D$7:$G$7,D24:G24)</f>
        <v/>
      </c>
      <c r="I24" s="110" t="n"/>
      <c r="J24" s="110" t="n"/>
      <c r="K24" s="81">
        <f>N(H24)*N(I24)</f>
        <v/>
      </c>
      <c r="L24" s="81">
        <f>N(H24)*N(J24)</f>
        <v/>
      </c>
      <c r="M24" s="92">
        <f>K24+L24</f>
        <v/>
      </c>
      <c r="N24" s="111" t="inlineStr"/>
    </row>
    <row r="25" ht="39" customHeight="1">
      <c r="A25" s="80" t="inlineStr">
        <is>
          <t>7A.16</t>
        </is>
      </c>
      <c r="B25" s="80" t="inlineStr">
        <is>
          <t>Rafter fixings: rafter-to-ridge connectors (hangers / straps) and rafter-to-plate / valley fixings (2 per rafter)</t>
        </is>
      </c>
      <c r="C25" s="80" t="inlineStr">
        <is>
          <t>nr</t>
        </is>
      </c>
      <c r="D25" s="109" t="n"/>
      <c r="E25" s="109" t="n"/>
      <c r="F25" s="109" t="n"/>
      <c r="G25" s="109" t="n">
        <v>240</v>
      </c>
      <c r="H25" s="95">
        <f>SUMPRODUCT($D$7:$G$7,D25:G25)</f>
        <v/>
      </c>
      <c r="I25" s="110" t="n"/>
      <c r="J25" s="110" t="n"/>
      <c r="K25" s="81">
        <f>N(H25)*N(I25)</f>
        <v/>
      </c>
      <c r="L25" s="81">
        <f>N(H25)*N(J25)</f>
        <v/>
      </c>
      <c r="M25" s="92">
        <f>K25+L25</f>
        <v/>
      </c>
      <c r="N25" s="111" t="inlineStr"/>
    </row>
    <row r="26">
      <c r="A26" s="100" t="inlineStr">
        <is>
          <t>7B  Roof covering, eaves, verges and rainwater (NRM2 18 / 33 - package RFC)</t>
        </is>
      </c>
    </row>
    <row r="27" ht="26" customHeight="1">
      <c r="B27" s="108" t="inlineStr">
        <is>
          <t>Slope areas = plan x 1.414 (45 deg). Plan: Roof L 162.8 m2 (east slope + west slope to the valley / its eaves), Roof R 96.8 m2, incl. the 300 eaves overhangs and 150 verges. Covering: the elevations are hatched as slate / tile - product per the planning approval (TBC; Scotland - natural slate is common).</t>
        </is>
      </c>
    </row>
    <row r="28" ht="26" customHeight="1">
      <c r="A28" s="80" t="inlineStr">
        <is>
          <t>7B.1</t>
        </is>
      </c>
      <c r="B28" s="80" t="inlineStr">
        <is>
          <t>Roof covering, slate / tile (spec TBC) on battens + counter-battens, measured on the slope</t>
        </is>
      </c>
      <c r="C28" s="80" t="inlineStr">
        <is>
          <t>m2</t>
        </is>
      </c>
      <c r="D28" s="109" t="n"/>
      <c r="E28" s="109" t="n"/>
      <c r="F28" s="109" t="n"/>
      <c r="G28" s="109" t="n">
        <v>367.064</v>
      </c>
      <c r="H28" s="95">
        <f>SUMPRODUCT($D$7:$G$7,D28:G28)</f>
        <v/>
      </c>
      <c r="I28" s="110" t="n"/>
      <c r="J28" s="110" t="n"/>
      <c r="K28" s="81">
        <f>N(H28)*N(I28)</f>
        <v/>
      </c>
      <c r="L28" s="81">
        <f>N(H28)*N(J28)</f>
        <v/>
      </c>
      <c r="M28" s="92">
        <f>K28+L28</f>
        <v/>
      </c>
      <c r="N28" s="111" t="inlineStr">
        <is>
          <t>Order guide +10% = 403.8</t>
        </is>
      </c>
    </row>
    <row r="29" ht="26" customHeight="1">
      <c r="A29" s="80" t="inlineStr">
        <is>
          <t>7B.2</t>
        </is>
      </c>
      <c r="B29" s="80" t="inlineStr">
        <is>
          <t>Breathable roof membrane (vapour-permeable underlay) with laps, on the rafters / sarking</t>
        </is>
      </c>
      <c r="C29" s="80" t="inlineStr">
        <is>
          <t>m2</t>
        </is>
      </c>
      <c r="D29" s="109" t="n"/>
      <c r="E29" s="109" t="n"/>
      <c r="F29" s="109" t="n"/>
      <c r="G29" s="109" t="n">
        <v>367.064</v>
      </c>
      <c r="H29" s="95">
        <f>SUMPRODUCT($D$7:$G$7,D29:G29)</f>
        <v/>
      </c>
      <c r="I29" s="110" t="n"/>
      <c r="J29" s="110" t="n"/>
      <c r="K29" s="81">
        <f>N(H29)*N(I29)</f>
        <v/>
      </c>
      <c r="L29" s="81">
        <f>N(H29)*N(J29)</f>
        <v/>
      </c>
      <c r="M29" s="92">
        <f>K29+L29</f>
        <v/>
      </c>
      <c r="N29" s="111" t="inlineStr">
        <is>
          <t>Order guide +15% = 422.1</t>
        </is>
      </c>
    </row>
    <row r="30" ht="26" customHeight="1">
      <c r="A30" s="80" t="inlineStr">
        <is>
          <t>7B.3</t>
        </is>
      </c>
      <c r="B30" s="80" t="inlineStr">
        <is>
          <t>Ridge (Roof L 20.7 m + Roof R 12.3 m): ridge tiles / dry ridge system incl. ventilation</t>
        </is>
      </c>
      <c r="C30" s="80" t="inlineStr">
        <is>
          <t>m</t>
        </is>
      </c>
      <c r="D30" s="109" t="n"/>
      <c r="E30" s="109" t="n"/>
      <c r="F30" s="109" t="n"/>
      <c r="G30" s="109" t="n">
        <v>33</v>
      </c>
      <c r="H30" s="95">
        <f>SUMPRODUCT($D$7:$G$7,D30:G30)</f>
        <v/>
      </c>
      <c r="I30" s="110" t="n"/>
      <c r="J30" s="110" t="n"/>
      <c r="K30" s="81">
        <f>N(H30)*N(I30)</f>
        <v/>
      </c>
      <c r="L30" s="81">
        <f>N(H30)*N(J30)</f>
        <v/>
      </c>
      <c r="M30" s="92">
        <f>K30+L30</f>
        <v/>
      </c>
      <c r="N30" s="111" t="inlineStr"/>
    </row>
    <row r="31" ht="26" customHeight="1">
      <c r="A31" s="80" t="inlineStr">
        <is>
          <t>7B.4</t>
        </is>
      </c>
      <c r="B31" s="80" t="inlineStr">
        <is>
          <t>Verges: undercloak + dry verge / mortar verge, front and rear gables of both roofs</t>
        </is>
      </c>
      <c r="C31" s="80" t="inlineStr">
        <is>
          <t>m</t>
        </is>
      </c>
      <c r="D31" s="109" t="n"/>
      <c r="E31" s="109" t="n"/>
      <c r="F31" s="109" t="n"/>
      <c r="G31" s="109" t="n">
        <v>44.854</v>
      </c>
      <c r="H31" s="95">
        <f>SUMPRODUCT($D$7:$G$7,D31:G31)</f>
        <v/>
      </c>
      <c r="I31" s="110" t="n"/>
      <c r="J31" s="110" t="n"/>
      <c r="K31" s="81">
        <f>N(H31)*N(I31)</f>
        <v/>
      </c>
      <c r="L31" s="81">
        <f>N(H31)*N(J31)</f>
        <v/>
      </c>
      <c r="M31" s="92">
        <f>K31+L31</f>
        <v/>
      </c>
      <c r="N31" s="111" t="inlineStr"/>
    </row>
    <row r="32" ht="26" customHeight="1">
      <c r="A32" s="80" t="inlineStr">
        <is>
          <t>7B.5</t>
        </is>
      </c>
      <c r="B32" s="80" t="inlineStr">
        <is>
          <t>Valley gutter / lining between the two roofs (lead or GRP) incl. outlets at the ends</t>
        </is>
      </c>
      <c r="C32" s="80" t="inlineStr">
        <is>
          <t>m</t>
        </is>
      </c>
      <c r="D32" s="109" t="n"/>
      <c r="E32" s="109" t="n"/>
      <c r="F32" s="109" t="n"/>
      <c r="G32" s="109" t="n">
        <v>11.955</v>
      </c>
      <c r="H32" s="95">
        <f>SUMPRODUCT($D$7:$G$7,D32:G32)</f>
        <v/>
      </c>
      <c r="I32" s="110" t="n"/>
      <c r="J32" s="110" t="n"/>
      <c r="K32" s="81">
        <f>N(H32)*N(I32)</f>
        <v/>
      </c>
      <c r="L32" s="81">
        <f>N(H32)*N(J32)</f>
        <v/>
      </c>
      <c r="M32" s="92">
        <f>K32+L32</f>
        <v/>
      </c>
      <c r="N32" s="111" t="inlineStr">
        <is>
          <t>Valley between parallel ridges - designer</t>
        </is>
      </c>
    </row>
    <row r="33" ht="26" customHeight="1">
      <c r="A33" s="80" t="inlineStr">
        <is>
          <t>7B.6</t>
        </is>
      </c>
      <c r="B33" s="80" t="inlineStr">
        <is>
          <t>Eaves: fascia, soffit (300 overhang), eaves ventilation / protection tray</t>
        </is>
      </c>
      <c r="C33" s="80" t="inlineStr">
        <is>
          <t>m</t>
        </is>
      </c>
      <c r="D33" s="109" t="n"/>
      <c r="E33" s="109" t="n"/>
      <c r="F33" s="109" t="n"/>
      <c r="G33" s="109" t="n">
        <v>41.49</v>
      </c>
      <c r="H33" s="95">
        <f>SUMPRODUCT($D$7:$G$7,D33:G33)</f>
        <v/>
      </c>
      <c r="I33" s="110" t="n"/>
      <c r="J33" s="110" t="n"/>
      <c r="K33" s="81">
        <f>N(H33)*N(I33)</f>
        <v/>
      </c>
      <c r="L33" s="81">
        <f>N(H33)*N(J33)</f>
        <v/>
      </c>
      <c r="M33" s="92">
        <f>K33+L33</f>
        <v/>
      </c>
      <c r="N33" s="111" t="inlineStr">
        <is>
          <t>Roof L east, Roof L west outside Roof R, Roof R west</t>
        </is>
      </c>
    </row>
    <row r="34" ht="26" customHeight="1">
      <c r="A34" s="80" t="inlineStr">
        <is>
          <t>7B.7</t>
        </is>
      </c>
      <c r="B34" s="80" t="inlineStr">
        <is>
          <t>Eaves gutters (PVC-u / aluminium) incl. stop ends, outlets, brackets</t>
        </is>
      </c>
      <c r="C34" s="80" t="inlineStr">
        <is>
          <t>m</t>
        </is>
      </c>
      <c r="D34" s="109" t="n"/>
      <c r="E34" s="109" t="n"/>
      <c r="F34" s="109" t="n"/>
      <c r="G34" s="109" t="n">
        <v>41.49</v>
      </c>
      <c r="H34" s="95">
        <f>SUMPRODUCT($D$7:$G$7,D34:G34)</f>
        <v/>
      </c>
      <c r="I34" s="110" t="n"/>
      <c r="J34" s="110" t="n"/>
      <c r="K34" s="81">
        <f>N(H34)*N(I34)</f>
        <v/>
      </c>
      <c r="L34" s="81">
        <f>N(H34)*N(J34)</f>
        <v/>
      </c>
      <c r="M34" s="92">
        <f>K34+L34</f>
        <v/>
      </c>
      <c r="N34" s="111" t="inlineStr">
        <is>
          <t>Order guide +5% = 43.6</t>
        </is>
      </c>
    </row>
    <row r="35" ht="26" customHeight="1">
      <c r="A35" s="80" t="inlineStr">
        <is>
          <t>7B.8</t>
        </is>
      </c>
      <c r="B35" s="80" t="inlineStr">
        <is>
          <t>Downpipes from the eaves gutters and the valley outlets to the drainage (number / positions TBC)</t>
        </is>
      </c>
      <c r="C35" s="80" t="inlineStr">
        <is>
          <t>nr</t>
        </is>
      </c>
      <c r="D35" s="109" t="n"/>
      <c r="E35" s="109" t="n"/>
      <c r="F35" s="109" t="n"/>
      <c r="G35" s="109" t="n">
        <v>6</v>
      </c>
      <c r="H35" s="95">
        <f>SUMPRODUCT($D$7:$G$7,D35:G35)</f>
        <v/>
      </c>
      <c r="I35" s="110" t="n"/>
      <c r="J35" s="110" t="n"/>
      <c r="K35" s="81">
        <f>N(H35)*N(I35)</f>
        <v/>
      </c>
      <c r="L35" s="81">
        <f>N(H35)*N(J35)</f>
        <v/>
      </c>
      <c r="M35" s="92">
        <f>K35+L35</f>
        <v/>
      </c>
      <c r="N35" s="111" t="inlineStr">
        <is>
          <t>PROVISIONAL - drainage design</t>
        </is>
      </c>
    </row>
    <row r="36" ht="26" customHeight="1">
      <c r="A36" s="80" t="inlineStr">
        <is>
          <t>7B.9</t>
        </is>
      </c>
      <c r="B36" s="80" t="inlineStr">
        <is>
          <t>Rooflights (east slope of Roof L, ~0.7 x 1.0 m scaled - size TBC) incl. flashing kits and internal linings</t>
        </is>
      </c>
      <c r="C36" s="80" t="inlineStr">
        <is>
          <t>nr</t>
        </is>
      </c>
      <c r="D36" s="109" t="n"/>
      <c r="E36" s="109" t="n"/>
      <c r="F36" s="109" t="n"/>
      <c r="G36" s="109" t="n">
        <v>5</v>
      </c>
      <c r="H36" s="95">
        <f>SUMPRODUCT($D$7:$G$7,D36:G36)</f>
        <v/>
      </c>
      <c r="I36" s="110" t="n"/>
      <c r="J36" s="110" t="n"/>
      <c r="K36" s="81">
        <f>N(H36)*N(I36)</f>
        <v/>
      </c>
      <c r="L36" s="81">
        <f>N(H36)*N(J36)</f>
        <v/>
      </c>
      <c r="M36" s="92">
        <f>K36+L36</f>
        <v/>
      </c>
      <c r="N36" s="111" t="inlineStr">
        <is>
          <t>Seen on the east elevation - NOT modelled</t>
        </is>
      </c>
    </row>
    <row r="37" ht="26" customHeight="1">
      <c r="A37" s="80" t="inlineStr">
        <is>
          <t>7B.10</t>
        </is>
      </c>
      <c r="B37" s="80" t="inlineStr">
        <is>
          <t>Chimney / stove flue through the lounge roof (drawn, NOT modelled): flue system, flashings, terminal</t>
        </is>
      </c>
      <c r="C37" s="80" t="inlineStr">
        <is>
          <t>item</t>
        </is>
      </c>
      <c r="D37" s="109" t="n"/>
      <c r="E37" s="109" t="n"/>
      <c r="F37" s="109" t="n"/>
      <c r="G37" s="109" t="n"/>
      <c r="H37" s="95" t="n"/>
      <c r="I37" s="110" t="n"/>
      <c r="J37" s="110" t="n"/>
      <c r="K37" s="81">
        <f>IF(ISNUMBER(H37),H37,1)*N(I37)</f>
        <v/>
      </c>
      <c r="L37" s="81">
        <f>IF(ISNUMBER(H37),H37,1)*N(J37)</f>
        <v/>
      </c>
      <c r="M37" s="92">
        <f>K37+L37</f>
        <v/>
      </c>
      <c r="N37" s="111" t="inlineStr">
        <is>
          <t>Lump sum - the rate entered is the amount. Not measured</t>
        </is>
      </c>
    </row>
    <row r="38">
      <c r="A38" s="100" t="inlineStr">
        <is>
          <t>7C  Roof insulation, VCL and soffits (NRM2 18 / 28 - package RFC)</t>
        </is>
      </c>
    </row>
    <row r="39" ht="26" customHeight="1">
      <c r="B39" s="108" t="inlineStr">
        <is>
          <t>Warm vault: insulation between the 220 rafters plus an insulated layer under (or over) them, VCL on the warm side, plasterboard in Bill 2B.4. Build-up and U-value by the SAP assessor (Standard 6.2, Section 6 Energy). Measured as the GF vaulted ceiling area on the slope.</t>
        </is>
      </c>
    </row>
    <row r="40" ht="39" customHeight="1">
      <c r="A40" s="80" t="inlineStr">
        <is>
          <t>7C.1</t>
        </is>
      </c>
      <c r="B40" s="80" t="inlineStr">
        <is>
          <t>Insulation between the rafters (to suit 220 deep, ventilated or full-fill per the build-up) + insulated board under the rafters</t>
        </is>
      </c>
      <c r="C40" s="80" t="inlineStr">
        <is>
          <t>m2</t>
        </is>
      </c>
      <c r="D40" s="109" t="n"/>
      <c r="E40" s="109" t="n"/>
      <c r="F40" s="109" t="n"/>
      <c r="G40" s="109" t="n">
        <v>282.549</v>
      </c>
      <c r="H40" s="95">
        <f>SUMPRODUCT($D$7:$G$7,D40:G40)</f>
        <v/>
      </c>
      <c r="I40" s="110" t="n"/>
      <c r="J40" s="110" t="n"/>
      <c r="K40" s="81">
        <f>N(H40)*N(I40)</f>
        <v/>
      </c>
      <c r="L40" s="81">
        <f>N(H40)*N(J40)</f>
        <v/>
      </c>
      <c r="M40" s="92">
        <f>K40+L40</f>
        <v/>
      </c>
      <c r="N40" s="111" t="inlineStr">
        <is>
          <t>Order guide +5% = 296.7</t>
        </is>
      </c>
    </row>
    <row r="41" ht="26" customHeight="1">
      <c r="A41" s="80" t="inlineStr">
        <is>
          <t>7C.2</t>
        </is>
      </c>
      <c r="B41" s="80" t="inlineStr">
        <is>
          <t>Vapour control layer on the warm side, taped laps and penetrations</t>
        </is>
      </c>
      <c r="C41" s="80" t="inlineStr">
        <is>
          <t>m2</t>
        </is>
      </c>
      <c r="D41" s="109" t="n"/>
      <c r="E41" s="109" t="n"/>
      <c r="F41" s="109" t="n"/>
      <c r="G41" s="109" t="n">
        <v>282.549</v>
      </c>
      <c r="H41" s="95">
        <f>SUMPRODUCT($D$7:$G$7,D41:G41)</f>
        <v/>
      </c>
      <c r="I41" s="110" t="n"/>
      <c r="J41" s="110" t="n"/>
      <c r="K41" s="81">
        <f>N(H41)*N(I41)</f>
        <v/>
      </c>
      <c r="L41" s="81">
        <f>N(H41)*N(J41)</f>
        <v/>
      </c>
      <c r="M41" s="92">
        <f>K41+L41</f>
        <v/>
      </c>
      <c r="N41" s="111" t="inlineStr">
        <is>
          <t>Order guide +10% = 310.8</t>
        </is>
      </c>
    </row>
    <row r="42" ht="26" customHeight="1">
      <c r="A42" s="80" t="inlineStr">
        <is>
          <t>7C.3</t>
        </is>
      </c>
      <c r="B42" s="80" t="inlineStr">
        <is>
          <t>External soffit lining under the roof over the master-suite covered terrace (on the slope)</t>
        </is>
      </c>
      <c r="C42" s="80" t="inlineStr">
        <is>
          <t>m2</t>
        </is>
      </c>
      <c r="D42" s="109" t="n"/>
      <c r="E42" s="109" t="n"/>
      <c r="F42" s="109" t="n"/>
      <c r="G42" s="109" t="n">
        <v>17.566</v>
      </c>
      <c r="H42" s="95">
        <f>SUMPRODUCT($D$7:$G$7,D42:G42)</f>
        <v/>
      </c>
      <c r="I42" s="110" t="n"/>
      <c r="J42" s="110" t="n"/>
      <c r="K42" s="81">
        <f>N(H42)*N(I42)</f>
        <v/>
      </c>
      <c r="L42" s="81">
        <f>N(H42)*N(J42)</f>
        <v/>
      </c>
      <c r="M42" s="92">
        <f>K42+L42</f>
        <v/>
      </c>
      <c r="N42" s="111" t="inlineStr">
        <is>
          <t>PROVISIONAL - plan ~12.4 m2</t>
        </is>
      </c>
    </row>
    <row r="44" ht="20" customHeight="1">
      <c r="A44" s="91" t="inlineStr">
        <is>
          <t>PACKAGE SUMMARY  -  Bill 7  Vaulted Roof - Structure, Covering, Rainwater &amp; Insulation  (package RFS / RFC; amounts by others, excl. VAT)</t>
        </is>
      </c>
    </row>
    <row r="45" ht="30" customHeight="1">
      <c r="A45" s="79" t="inlineStr">
        <is>
          <t>Section</t>
        </is>
      </c>
      <c r="B45" s="79" t="inlineStr">
        <is>
          <t>Description</t>
        </is>
      </c>
      <c r="C45" s="97" t="n"/>
      <c r="D45" s="97" t="n"/>
      <c r="E45" s="97" t="n"/>
      <c r="F45" s="97" t="n"/>
      <c r="G45" s="97" t="n"/>
      <c r="H45" s="97" t="n"/>
      <c r="I45" s="97" t="n"/>
      <c r="J45" s="98" t="n"/>
      <c r="K45" s="79" t="inlineStr">
        <is>
          <t>Supply
£</t>
        </is>
      </c>
      <c r="L45" s="79" t="inlineStr">
        <is>
          <t>Install
£</t>
        </is>
      </c>
      <c r="M45" s="79" t="inlineStr">
        <is>
          <t>Total
£</t>
        </is>
      </c>
      <c r="N45" s="79" t="inlineStr"/>
    </row>
    <row r="46" ht="16" customHeight="1">
      <c r="A46" s="112" t="inlineStr">
        <is>
          <t>7A</t>
        </is>
      </c>
      <c r="B46" s="80" t="inlineStr">
        <is>
          <t>Roof structure - vaulted cut roof (NRM2 16 - package RFS; roof designer / engineer)</t>
        </is>
      </c>
      <c r="C46" s="86" t="n"/>
      <c r="D46" s="86" t="n"/>
      <c r="E46" s="86" t="n"/>
      <c r="F46" s="86" t="n"/>
      <c r="G46" s="86" t="n"/>
      <c r="H46" s="86" t="n"/>
      <c r="I46" s="86" t="n"/>
      <c r="J46" s="86" t="n"/>
      <c r="K46" s="81">
        <f>SUM(K9:K25)</f>
        <v/>
      </c>
      <c r="L46" s="81">
        <f>SUM(L9:L25)</f>
        <v/>
      </c>
      <c r="M46" s="92">
        <f>SUM(M9:M25)</f>
        <v/>
      </c>
    </row>
    <row r="47" ht="16" customHeight="1">
      <c r="A47" s="112" t="inlineStr">
        <is>
          <t>7B</t>
        </is>
      </c>
      <c r="B47" s="80" t="inlineStr">
        <is>
          <t>Roof covering, eaves, verges and rainwater (NRM2 18 / 33 - package RFC)</t>
        </is>
      </c>
      <c r="C47" s="86" t="n"/>
      <c r="D47" s="86" t="n"/>
      <c r="E47" s="86" t="n"/>
      <c r="F47" s="86" t="n"/>
      <c r="G47" s="86" t="n"/>
      <c r="H47" s="86" t="n"/>
      <c r="I47" s="86" t="n"/>
      <c r="J47" s="86" t="n"/>
      <c r="K47" s="81">
        <f>SUM(K27:K37)</f>
        <v/>
      </c>
      <c r="L47" s="81">
        <f>SUM(L27:L37)</f>
        <v/>
      </c>
      <c r="M47" s="92">
        <f>SUM(M27:M37)</f>
        <v/>
      </c>
    </row>
    <row r="48" ht="16" customHeight="1">
      <c r="A48" s="112" t="inlineStr">
        <is>
          <t>7C</t>
        </is>
      </c>
      <c r="B48" s="80" t="inlineStr">
        <is>
          <t>Roof insulation, VCL and soffits (NRM2 18 / 28 - package RFC)</t>
        </is>
      </c>
      <c r="C48" s="86" t="n"/>
      <c r="D48" s="86" t="n"/>
      <c r="E48" s="86" t="n"/>
      <c r="F48" s="86" t="n"/>
      <c r="G48" s="86" t="n"/>
      <c r="H48" s="86" t="n"/>
      <c r="I48" s="86" t="n"/>
      <c r="J48" s="86" t="n"/>
      <c r="K48" s="81">
        <f>SUM(K39:K42)</f>
        <v/>
      </c>
      <c r="L48" s="81">
        <f>SUM(L39:L42)</f>
        <v/>
      </c>
      <c r="M48" s="92">
        <f>SUM(M39:M42)</f>
        <v/>
      </c>
    </row>
    <row r="49" ht="20" customHeight="1">
      <c r="A49" s="113" t="inlineStr">
        <is>
          <t>PACKAGE TOTAL - Bill 7, carried to the Cover overview</t>
        </is>
      </c>
      <c r="K49" s="83">
        <f>SUM(K46:K48)</f>
        <v/>
      </c>
      <c r="L49" s="83">
        <f>SUM(L46:L48)</f>
        <v/>
      </c>
      <c r="M49" s="83">
        <f>SUM(M46:M48)</f>
        <v/>
      </c>
    </row>
    <row r="50" ht="24" customHeight="1">
      <c r="A50"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6">
    <mergeCell ref="A8:N8"/>
    <mergeCell ref="C2:N2"/>
    <mergeCell ref="C1:N1"/>
    <mergeCell ref="B9:N9"/>
    <mergeCell ref="A4:N4"/>
    <mergeCell ref="B27:N27"/>
    <mergeCell ref="A26:N26"/>
    <mergeCell ref="A38:N38"/>
    <mergeCell ref="B45:J45"/>
    <mergeCell ref="B46:J46"/>
    <mergeCell ref="B47:J47"/>
    <mergeCell ref="A50:N50"/>
    <mergeCell ref="B39:N39"/>
    <mergeCell ref="A44:N44"/>
    <mergeCell ref="B48:J48"/>
    <mergeCell ref="A49:J49"/>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1:N45"/>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8 - Glazing, External Doors, Raked Feature Screens &amp; Garage Door</t>
        </is>
      </c>
    </row>
    <row r="2" ht="26" customHeight="1">
      <c r="C2" s="103" t="inlineStr">
        <is>
          <t>Windows, external doors, stair screens and the raked feature screens to the vault from the BuildEase window fit; guarding, garage door and unmodelled glazing provisional.  [NRM2 25 / package WIN / GLZ]</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8A  Windows - UPVC casements (NRM2 25 - package WIN; window supplier)</t>
        </is>
      </c>
    </row>
    <row r="9" ht="26" customHeight="1">
      <c r="B9" s="108" t="inlineStr">
        <is>
          <t>From the BuildEase window fit (fbw_fit.json; KBW): structural opening sizes (so) and lights. ALL GF windows are FLOOR-LENGTH (sill at FFL): safety glazing in critical locations (Standard 4.8) - toughened / laminated to the lower panes at least. Frames tight to the back of the outer EPS.</t>
        </is>
      </c>
    </row>
    <row r="10" ht="26" customHeight="1">
      <c r="A10" s="80" t="inlineStr">
        <is>
          <t>8A.1</t>
        </is>
      </c>
      <c r="B10" s="80" t="inlineStr">
        <is>
          <t>UPVC casement window 1,256 x 2,076 so, 2 lights, DGU (floor-length, safety glazing)</t>
        </is>
      </c>
      <c r="C10" s="80" t="inlineStr">
        <is>
          <t>nr</t>
        </is>
      </c>
      <c r="D10" s="109" t="n"/>
      <c r="E10" s="109" t="n"/>
      <c r="F10" s="109" t="n"/>
      <c r="G10" s="109" t="n">
        <v>3</v>
      </c>
      <c r="H10" s="95">
        <f>SUMPRODUCT($D$7:$G$7,D10:G10)</f>
        <v/>
      </c>
      <c r="I10" s="110" t="n"/>
      <c r="J10" s="110" t="n"/>
      <c r="K10" s="81">
        <f>N(H10)*N(I10)</f>
        <v/>
      </c>
      <c r="L10" s="81">
        <f>N(H10)*N(J10)</f>
        <v/>
      </c>
      <c r="M10" s="92">
        <f>K10+L10</f>
        <v/>
      </c>
      <c r="N10" s="111" t="inlineStr">
        <is>
          <t>L1-W01, L1-W07, L1-W08</t>
        </is>
      </c>
    </row>
    <row r="11" ht="26" customHeight="1">
      <c r="A11" s="80" t="inlineStr">
        <is>
          <t>8A.2</t>
        </is>
      </c>
      <c r="B11" s="80" t="inlineStr">
        <is>
          <t>UPVC casement window 1,251 x 2,076 so, 2 lights, DGU (floor-length, safety glazing)</t>
        </is>
      </c>
      <c r="C11" s="80" t="inlineStr">
        <is>
          <t>nr</t>
        </is>
      </c>
      <c r="D11" s="109" t="n"/>
      <c r="E11" s="109" t="n"/>
      <c r="F11" s="109" t="n"/>
      <c r="G11" s="109" t="n">
        <v>2</v>
      </c>
      <c r="H11" s="95">
        <f>SUMPRODUCT($D$7:$G$7,D11:G11)</f>
        <v/>
      </c>
      <c r="I11" s="110" t="n"/>
      <c r="J11" s="110" t="n"/>
      <c r="K11" s="81">
        <f>N(H11)*N(I11)</f>
        <v/>
      </c>
      <c r="L11" s="81">
        <f>N(H11)*N(J11)</f>
        <v/>
      </c>
      <c r="M11" s="92">
        <f>K11+L11</f>
        <v/>
      </c>
      <c r="N11" s="111" t="inlineStr">
        <is>
          <t>L1-W02, L1-W05</t>
        </is>
      </c>
    </row>
    <row r="12" ht="26" customHeight="1">
      <c r="A12" s="80" t="inlineStr">
        <is>
          <t>8A.3</t>
        </is>
      </c>
      <c r="B12" s="80" t="inlineStr">
        <is>
          <t>UPVC casement window 2,036 x 2,076 so, 3 lights, DGU (floor-length, safety glazing)</t>
        </is>
      </c>
      <c r="C12" s="80" t="inlineStr">
        <is>
          <t>nr</t>
        </is>
      </c>
      <c r="D12" s="109" t="n"/>
      <c r="E12" s="109" t="n"/>
      <c r="F12" s="109" t="n"/>
      <c r="G12" s="109" t="n">
        <v>1</v>
      </c>
      <c r="H12" s="95">
        <f>SUMPRODUCT($D$7:$G$7,D12:G12)</f>
        <v/>
      </c>
      <c r="I12" s="110" t="n"/>
      <c r="J12" s="110" t="n"/>
      <c r="K12" s="81">
        <f>N(H12)*N(I12)</f>
        <v/>
      </c>
      <c r="L12" s="81">
        <f>N(H12)*N(J12)</f>
        <v/>
      </c>
      <c r="M12" s="92">
        <f>K12+L12</f>
        <v/>
      </c>
      <c r="N12" s="111" t="inlineStr">
        <is>
          <t>L1-W03</t>
        </is>
      </c>
    </row>
    <row r="13" ht="26" customHeight="1">
      <c r="A13" s="80" t="inlineStr">
        <is>
          <t>8A.4</t>
        </is>
      </c>
      <c r="B13" s="80" t="inlineStr">
        <is>
          <t>UPVC casement window 1,051 x 2,076 so, 1 light, DGU (floor-length, safety glazing)</t>
        </is>
      </c>
      <c r="C13" s="80" t="inlineStr">
        <is>
          <t>nr</t>
        </is>
      </c>
      <c r="D13" s="109" t="n"/>
      <c r="E13" s="109" t="n"/>
      <c r="F13" s="109" t="n"/>
      <c r="G13" s="109" t="n">
        <v>1</v>
      </c>
      <c r="H13" s="95">
        <f>SUMPRODUCT($D$7:$G$7,D13:G13)</f>
        <v/>
      </c>
      <c r="I13" s="110" t="n"/>
      <c r="J13" s="110" t="n"/>
      <c r="K13" s="81">
        <f>N(H13)*N(I13)</f>
        <v/>
      </c>
      <c r="L13" s="81">
        <f>N(H13)*N(J13)</f>
        <v/>
      </c>
      <c r="M13" s="92">
        <f>K13+L13</f>
        <v/>
      </c>
      <c r="N13" s="111" t="inlineStr">
        <is>
          <t>L1-W04</t>
        </is>
      </c>
    </row>
    <row r="14" ht="26" customHeight="1">
      <c r="A14" s="80" t="inlineStr">
        <is>
          <t>8A.5</t>
        </is>
      </c>
      <c r="B14" s="80" t="inlineStr">
        <is>
          <t>UPVC casement window 1,241 x 2,076 so, 2 lights, DGU (floor-length, safety glazing)</t>
        </is>
      </c>
      <c r="C14" s="80" t="inlineStr">
        <is>
          <t>nr</t>
        </is>
      </c>
      <c r="D14" s="109" t="n"/>
      <c r="E14" s="109" t="n"/>
      <c r="F14" s="109" t="n"/>
      <c r="G14" s="109" t="n">
        <v>1</v>
      </c>
      <c r="H14" s="95">
        <f>SUMPRODUCT($D$7:$G$7,D14:G14)</f>
        <v/>
      </c>
      <c r="I14" s="110" t="n"/>
      <c r="J14" s="110" t="n"/>
      <c r="K14" s="81">
        <f>N(H14)*N(I14)</f>
        <v/>
      </c>
      <c r="L14" s="81">
        <f>N(H14)*N(J14)</f>
        <v/>
      </c>
      <c r="M14" s="92">
        <f>K14+L14</f>
        <v/>
      </c>
      <c r="N14" s="111" t="inlineStr">
        <is>
          <t>L1-W06</t>
        </is>
      </c>
    </row>
    <row r="15" ht="26" customHeight="1">
      <c r="A15" s="80" t="inlineStr">
        <is>
          <t>8A.6</t>
        </is>
      </c>
      <c r="B15" s="80" t="inlineStr">
        <is>
          <t>UPVC casement window 1,735 x 898 so, 3 lights, DGU (pool hall: high-level, humidity-rated)</t>
        </is>
      </c>
      <c r="C15" s="80" t="inlineStr">
        <is>
          <t>nr</t>
        </is>
      </c>
      <c r="D15" s="109" t="n"/>
      <c r="E15" s="109" t="n">
        <v>1</v>
      </c>
      <c r="F15" s="109" t="n"/>
      <c r="G15" s="109" t="n"/>
      <c r="H15" s="95">
        <f>SUMPRODUCT($D$7:$G$7,D15:G15)</f>
        <v/>
      </c>
      <c r="I15" s="110" t="n"/>
      <c r="J15" s="110" t="n"/>
      <c r="K15" s="81">
        <f>N(H15)*N(I15)</f>
        <v/>
      </c>
      <c r="L15" s="81">
        <f>N(H15)*N(J15)</f>
        <v/>
      </c>
      <c r="M15" s="92">
        <f>K15+L15</f>
        <v/>
      </c>
      <c r="N15" s="111" t="inlineStr">
        <is>
          <t>BL-W01</t>
        </is>
      </c>
    </row>
    <row r="16" ht="26" customHeight="1">
      <c r="A16" s="80" t="inlineStr">
        <is>
          <t>8A.7</t>
        </is>
      </c>
      <c r="B16" s="80" t="inlineStr">
        <is>
          <t>UPVC casement window 1,746 x 898 so, 3 lights, DGU (pool hall: high-level, humidity-rated)</t>
        </is>
      </c>
      <c r="C16" s="80" t="inlineStr">
        <is>
          <t>nr</t>
        </is>
      </c>
      <c r="D16" s="109" t="n"/>
      <c r="E16" s="109" t="n">
        <v>1</v>
      </c>
      <c r="F16" s="109" t="n"/>
      <c r="G16" s="109" t="n"/>
      <c r="H16" s="95">
        <f>SUMPRODUCT($D$7:$G$7,D16:G16)</f>
        <v/>
      </c>
      <c r="I16" s="110" t="n"/>
      <c r="J16" s="110" t="n"/>
      <c r="K16" s="81">
        <f>N(H16)*N(I16)</f>
        <v/>
      </c>
      <c r="L16" s="81">
        <f>N(H16)*N(J16)</f>
        <v/>
      </c>
      <c r="M16" s="92">
        <f>K16+L16</f>
        <v/>
      </c>
      <c r="N16" s="111" t="inlineStr">
        <is>
          <t>BL-W02</t>
        </is>
      </c>
    </row>
    <row r="17" ht="15" customHeight="1">
      <c r="A17" s="119" t="inlineStr">
        <is>
          <t>8A.T</t>
        </is>
      </c>
      <c r="B17" s="119" t="inlineStr">
        <is>
          <t>Windows - total structural opening area</t>
        </is>
      </c>
      <c r="C17" s="119" t="inlineStr">
        <is>
          <t>m2</t>
        </is>
      </c>
      <c r="D17" s="120" t="n"/>
      <c r="E17" s="120" t="n">
        <v>3.126</v>
      </c>
      <c r="F17" s="120" t="n"/>
      <c r="G17" s="120" t="n">
        <v>22.001</v>
      </c>
      <c r="H17" s="120">
        <f>SUMPRODUCT($D$7:$G$7,D17:G17)</f>
        <v/>
      </c>
      <c r="I17" s="121" t="n"/>
      <c r="J17" s="121" t="n"/>
      <c r="K17" s="121" t="n"/>
      <c r="L17" s="121" t="n"/>
      <c r="M17" s="117" t="inlineStr">
        <is>
          <t>not priced</t>
        </is>
      </c>
      <c r="N17" s="122" t="inlineStr"/>
    </row>
    <row r="18">
      <c r="A18" s="100" t="inlineStr">
        <is>
          <t>8B  External doors (NRM2 25 - package WIN)</t>
        </is>
      </c>
    </row>
    <row r="19" ht="39" customHeight="1">
      <c r="A19" s="80" t="inlineStr">
        <is>
          <t>8B.1</t>
        </is>
      </c>
      <c r="B19" s="80" t="inlineStr">
        <is>
          <t>Aluminium bi-fold / glazed doors (PPC, low threshold), 3,445 x 2,076 so (L1-D01, master suite to the covered terrace)</t>
        </is>
      </c>
      <c r="C19" s="80" t="inlineStr">
        <is>
          <t>nr</t>
        </is>
      </c>
      <c r="D19" s="109" t="n"/>
      <c r="E19" s="109" t="n"/>
      <c r="F19" s="109" t="n"/>
      <c r="G19" s="109" t="n">
        <v>1</v>
      </c>
      <c r="H19" s="95">
        <f>SUMPRODUCT($D$7:$G$7,D19:G19)</f>
        <v/>
      </c>
      <c r="I19" s="110" t="n"/>
      <c r="J19" s="110" t="n"/>
      <c r="K19" s="81">
        <f>N(H19)*N(I19)</f>
        <v/>
      </c>
      <c r="L19" s="81">
        <f>N(H19)*N(J19)</f>
        <v/>
      </c>
      <c r="M19" s="92">
        <f>K19+L19</f>
        <v/>
      </c>
      <c r="N19" s="111" t="inlineStr">
        <is>
          <t>PAS 24 / Secured by Design per the warrant</t>
        </is>
      </c>
    </row>
    <row r="20" ht="39" customHeight="1">
      <c r="A20" s="80" t="inlineStr">
        <is>
          <t>8B.2</t>
        </is>
      </c>
      <c r="B20" s="80" t="inlineStr">
        <is>
          <t>Aluminium bi-fold / glazed doors (PPC, low threshold), 3,445 x 2,075 so (L1-G02, dining, in the glazing gap under the glazed gable)</t>
        </is>
      </c>
      <c r="C20" s="80" t="inlineStr">
        <is>
          <t>nr</t>
        </is>
      </c>
      <c r="D20" s="109" t="n"/>
      <c r="E20" s="109" t="n"/>
      <c r="F20" s="109" t="n"/>
      <c r="G20" s="109" t="n">
        <v>1</v>
      </c>
      <c r="H20" s="95">
        <f>SUMPRODUCT($D$7:$G$7,D20:G20)</f>
        <v/>
      </c>
      <c r="I20" s="110" t="n"/>
      <c r="J20" s="110" t="n"/>
      <c r="K20" s="81">
        <f>N(H20)*N(I20)</f>
        <v/>
      </c>
      <c r="L20" s="81">
        <f>N(H20)*N(J20)</f>
        <v/>
      </c>
      <c r="M20" s="92">
        <f>K20+L20</f>
        <v/>
      </c>
      <c r="N20" s="111" t="inlineStr">
        <is>
          <t>PAS 24 / Secured by Design per the warrant</t>
        </is>
      </c>
    </row>
    <row r="21" ht="39" customHeight="1">
      <c r="A21" s="80" t="inlineStr">
        <is>
          <t>8B.3</t>
        </is>
      </c>
      <c r="B21" s="80" t="inlineStr">
        <is>
          <t>Aluminium glazed door + sidelight (PPC, low threshold), 1,641 x 2,030 so (BL-D02, laundry - threshold 620 above the basement FFL as drawn)</t>
        </is>
      </c>
      <c r="C21" s="80" t="inlineStr">
        <is>
          <t>nr</t>
        </is>
      </c>
      <c r="D21" s="109" t="n"/>
      <c r="E21" s="109" t="n">
        <v>1</v>
      </c>
      <c r="F21" s="109" t="n"/>
      <c r="G21" s="109" t="n"/>
      <c r="H21" s="95">
        <f>SUMPRODUCT($D$7:$G$7,D21:G21)</f>
        <v/>
      </c>
      <c r="I21" s="110" t="n"/>
      <c r="J21" s="110" t="n"/>
      <c r="K21" s="81">
        <f>N(H21)*N(I21)</f>
        <v/>
      </c>
      <c r="L21" s="81">
        <f>N(H21)*N(J21)</f>
        <v/>
      </c>
      <c r="M21" s="92">
        <f>K21+L21</f>
        <v/>
      </c>
      <c r="N21" s="111" t="inlineStr">
        <is>
          <t>PAS 24 / Secured by Design per the warrant</t>
        </is>
      </c>
    </row>
    <row r="22">
      <c r="A22" s="100" t="inlineStr">
        <is>
          <t>8C  Glazed screens - stair (NRM2 25 - package WIN)</t>
        </is>
      </c>
    </row>
    <row r="23" ht="39" customHeight="1">
      <c r="A23" s="80" t="inlineStr">
        <is>
          <t>8C.1</t>
        </is>
      </c>
      <c r="B23" s="80" t="inlineStr">
        <is>
          <t>Link stair glazed screen (aluminium PPC, mullions &lt;= 1000, insulated spandrel at 0 slab zones): L1-G03b, 1,330 x 2,286 (2 panes)</t>
        </is>
      </c>
      <c r="C23" s="80" t="inlineStr">
        <is>
          <t>m2</t>
        </is>
      </c>
      <c r="D23" s="109" t="n"/>
      <c r="E23" s="109" t="n"/>
      <c r="F23" s="109" t="n"/>
      <c r="G23" s="109" t="n">
        <v>3.04</v>
      </c>
      <c r="H23" s="95">
        <f>SUMPRODUCT($D$7:$G$7,D23:G23)</f>
        <v/>
      </c>
      <c r="I23" s="110" t="n"/>
      <c r="J23" s="110" t="n"/>
      <c r="K23" s="81">
        <f>N(H23)*N(I23)</f>
        <v/>
      </c>
      <c r="L23" s="81">
        <f>N(H23)*N(J23)</f>
        <v/>
      </c>
      <c r="M23" s="92">
        <f>K23+L23</f>
        <v/>
      </c>
      <c r="N23" s="111" t="inlineStr">
        <is>
          <t>1 nr</t>
        </is>
      </c>
    </row>
    <row r="24" ht="39" customHeight="1">
      <c r="A24" s="80" t="inlineStr">
        <is>
          <t>8C.2</t>
        </is>
      </c>
      <c r="B24" s="80" t="inlineStr">
        <is>
          <t>Link stair glazed screen (aluminium PPC, mullions &lt;= 1000, insulated spandrel at 1 slab zone): BL-G04, 1,040 x 5,586 (2 panes, insulated spandrel at the GF slab zone)</t>
        </is>
      </c>
      <c r="C24" s="80" t="inlineStr">
        <is>
          <t>m2</t>
        </is>
      </c>
      <c r="D24" s="109" t="n"/>
      <c r="E24" s="109" t="n">
        <v>5.809</v>
      </c>
      <c r="F24" s="109" t="n"/>
      <c r="G24" s="109" t="n"/>
      <c r="H24" s="95">
        <f>SUMPRODUCT($D$7:$G$7,D24:G24)</f>
        <v/>
      </c>
      <c r="I24" s="110" t="n"/>
      <c r="J24" s="110" t="n"/>
      <c r="K24" s="81">
        <f>N(H24)*N(I24)</f>
        <v/>
      </c>
      <c r="L24" s="81">
        <f>N(H24)*N(J24)</f>
        <v/>
      </c>
      <c r="M24" s="92">
        <f>K24+L24</f>
        <v/>
      </c>
      <c r="N24" s="111" t="inlineStr">
        <is>
          <t>1 nr</t>
        </is>
      </c>
    </row>
    <row r="25">
      <c r="A25" s="100" t="inlineStr">
        <is>
          <t>8D  Raked feature glazing screens to the vaulted roof / glazed gables (NRM2 25 - package GLZ; GLAZING SPECIALIST)</t>
        </is>
      </c>
    </row>
    <row r="26" ht="39" customHeight="1">
      <c r="B26" s="108" t="inlineStr">
        <is>
          <t>Tom 20.10: "openings in the raked openings need to be raked, like a feature window" - aluminium PPC screens whose heads follow the rafter soffit / gable (KBW raked_screen: mullions &lt;= 1,000, transom 2,100 where the screen passes it, DGU cut to the rake, toughened / laminated). Areas re-measured here from each screen's head profile: the fbw_fit.json "glass_m2" figures UNDER-REPORT the glass by about half (the fit script averaged the pane polygon vertex heights) - Schedule B lists both. Design, wind loading, the structural mullions and the glazed-gable support are by the glazing specialist / engineer.</t>
        </is>
      </c>
    </row>
    <row r="27" ht="39" customHeight="1">
      <c r="A27" s="80" t="inlineStr">
        <is>
          <t>8D.1</t>
        </is>
      </c>
      <c r="B27" s="80" t="inlineStr">
        <is>
          <t>Raked screen L1-G01, 2,205 wide, sill 0, head to 4,517 (Raked aluminium feature glazing screen to the Roof L slope): 3 bays, 6 DGU panes</t>
        </is>
      </c>
      <c r="C27" s="80" t="inlineStr">
        <is>
          <t>m2</t>
        </is>
      </c>
      <c r="D27" s="109" t="n"/>
      <c r="E27" s="109" t="n"/>
      <c r="F27" s="109" t="n"/>
      <c r="G27" s="109" t="n">
        <v>7.539</v>
      </c>
      <c r="H27" s="95">
        <f>SUMPRODUCT($D$7:$G$7,D27:G27)</f>
        <v/>
      </c>
      <c r="I27" s="110" t="n"/>
      <c r="J27" s="110" t="n"/>
      <c r="K27" s="81">
        <f>N(H27)*N(I27)</f>
        <v/>
      </c>
      <c r="L27" s="81">
        <f>N(H27)*N(J27)</f>
        <v/>
      </c>
      <c r="M27" s="92">
        <f>K27+L27</f>
        <v/>
      </c>
      <c r="N27" s="111" t="inlineStr">
        <is>
          <t>Gross 7.54 m2; glass ~6.33 m2 (fbw_fit reported 6.33)</t>
        </is>
      </c>
    </row>
    <row r="28" ht="39" customHeight="1">
      <c r="A28" s="80" t="inlineStr">
        <is>
          <t>8D.2</t>
        </is>
      </c>
      <c r="B28" s="80" t="inlineStr">
        <is>
          <t>Raked screen L1-G03a, 2,367 wide, sill 0, head to 4,475 (Raked aluminium feature glazing screen to the Roof R gable): 3 bays, 6 DGU panes</t>
        </is>
      </c>
      <c r="C28" s="80" t="inlineStr">
        <is>
          <t>m2</t>
        </is>
      </c>
      <c r="D28" s="109" t="n"/>
      <c r="E28" s="109" t="n"/>
      <c r="F28" s="109" t="n"/>
      <c r="G28" s="109" t="n">
        <v>7.803</v>
      </c>
      <c r="H28" s="95">
        <f>SUMPRODUCT($D$7:$G$7,D28:G28)</f>
        <v/>
      </c>
      <c r="I28" s="110" t="n"/>
      <c r="J28" s="110" t="n"/>
      <c r="K28" s="81">
        <f>N(H28)*N(I28)</f>
        <v/>
      </c>
      <c r="L28" s="81">
        <f>N(H28)*N(J28)</f>
        <v/>
      </c>
      <c r="M28" s="92">
        <f>K28+L28</f>
        <v/>
      </c>
      <c r="N28" s="111" t="inlineStr">
        <is>
          <t>Gross 7.80 m2; glass ~6.60 m2 (fbw_fit reported 6.85)</t>
        </is>
      </c>
    </row>
    <row r="29" ht="39" customHeight="1">
      <c r="A29" s="80" t="inlineStr">
        <is>
          <t>8D.3</t>
        </is>
      </c>
      <c r="B29" s="80" t="inlineStr">
        <is>
          <t>Raked screen L1-G05, 2,197 wide, sill -960, head to 4,509 (Raked aluminium feature glazing screen to the Roof L slope): 3 bays, 6 DGU panes</t>
        </is>
      </c>
      <c r="C29" s="80" t="inlineStr">
        <is>
          <t>m2</t>
        </is>
      </c>
      <c r="D29" s="109" t="n"/>
      <c r="E29" s="109" t="n"/>
      <c r="F29" s="109" t="n"/>
      <c r="G29" s="109" t="n">
        <v>9.612</v>
      </c>
      <c r="H29" s="95">
        <f>SUMPRODUCT($D$7:$G$7,D29:G29)</f>
        <v/>
      </c>
      <c r="I29" s="110" t="n"/>
      <c r="J29" s="110" t="n"/>
      <c r="K29" s="81">
        <f>N(H29)*N(I29)</f>
        <v/>
      </c>
      <c r="L29" s="81">
        <f>N(H29)*N(J29)</f>
        <v/>
      </c>
      <c r="M29" s="92">
        <f>K29+L29</f>
        <v/>
      </c>
      <c r="N29" s="111" t="inlineStr">
        <is>
          <t>Gross 9.61 m2; glass ~8.17 m2 (fbw_fit reported 8.17)</t>
        </is>
      </c>
    </row>
    <row r="30" ht="39" customHeight="1">
      <c r="A30" s="80" t="inlineStr">
        <is>
          <t>8D.4</t>
        </is>
      </c>
      <c r="B30" s="80" t="inlineStr">
        <is>
          <t>Raked screen L1-G02R, 3,445 wide, sill 2,075, head to 5,963 (Raked aluminium feature glazing screen to the Roof R gable): 4 bays, 4 DGU panes</t>
        </is>
      </c>
      <c r="C30" s="80" t="inlineStr">
        <is>
          <t>m2</t>
        </is>
      </c>
      <c r="D30" s="109" t="n"/>
      <c r="E30" s="109" t="n"/>
      <c r="F30" s="109" t="n"/>
      <c r="G30" s="109" t="n">
        <v>8.718</v>
      </c>
      <c r="H30" s="95">
        <f>SUMPRODUCT($D$7:$G$7,D30:G30)</f>
        <v/>
      </c>
      <c r="I30" s="110" t="n"/>
      <c r="J30" s="110" t="n"/>
      <c r="K30" s="81">
        <f>N(H30)*N(I30)</f>
        <v/>
      </c>
      <c r="L30" s="81">
        <f>N(H30)*N(J30)</f>
        <v/>
      </c>
      <c r="M30" s="92">
        <f>K30+L30</f>
        <v/>
      </c>
      <c r="N30" s="111" t="inlineStr">
        <is>
          <t>Gross 8.72 m2; glass ~7.59 m2 (fbw_fit reported 7.54)</t>
        </is>
      </c>
    </row>
    <row r="31" ht="26" customHeight="1">
      <c r="A31" s="114" t="inlineStr">
        <is>
          <t>8D.T</t>
        </is>
      </c>
      <c r="B31" s="114" t="inlineStr">
        <is>
          <t>Raked screens - DGU glass area (re-measured, for the glazing specialist)</t>
        </is>
      </c>
      <c r="C31" s="114" t="inlineStr">
        <is>
          <t>m2</t>
        </is>
      </c>
      <c r="D31" s="115" t="n"/>
      <c r="E31" s="115" t="n"/>
      <c r="F31" s="115" t="n"/>
      <c r="G31" s="115" t="n">
        <v>28.689</v>
      </c>
      <c r="H31" s="115">
        <f>SUMPRODUCT($D$7:$G$7,D31:G31)</f>
        <v/>
      </c>
      <c r="I31" s="116" t="n"/>
      <c r="J31" s="116" t="n"/>
      <c r="K31" s="116" t="n"/>
      <c r="L31" s="116" t="n"/>
      <c r="M31" s="117" t="inlineStr">
        <is>
          <t>not priced</t>
        </is>
      </c>
      <c r="N31" s="118" t="inlineStr">
        <is>
          <t>Not a separate priced item</t>
        </is>
      </c>
    </row>
    <row r="32">
      <c r="A32" s="100" t="inlineStr">
        <is>
          <t>8E  Guarding, garage door and items not modelled (PROVISIONAL)</t>
        </is>
      </c>
    </row>
    <row r="33" ht="65" customHeight="1">
      <c r="A33" s="80" t="inlineStr">
        <is>
          <t>8E.1</t>
        </is>
      </c>
      <c r="B33" s="80" t="inlineStr">
        <is>
          <t>Guarding to the floor-length windows / corner screen where the outside ground is more than 600 mm below FFL (Standard 4.4 pedestrian protective barriers): laminated fixed lower pane / Juliet balustrade - W01-W08 (front, east, west), G03a</t>
        </is>
      </c>
      <c r="C33" s="80" t="inlineStr">
        <is>
          <t>nr</t>
        </is>
      </c>
      <c r="D33" s="109" t="n"/>
      <c r="E33" s="109" t="n"/>
      <c r="F33" s="109" t="n"/>
      <c r="G33" s="109" t="n">
        <v>9</v>
      </c>
      <c r="H33" s="95">
        <f>SUMPRODUCT($D$7:$G$7,D33:G33)</f>
        <v/>
      </c>
      <c r="I33" s="110" t="n"/>
      <c r="J33" s="110" t="n"/>
      <c r="K33" s="81">
        <f>N(H33)*N(I33)</f>
        <v/>
      </c>
      <c r="L33" s="81">
        <f>N(H33)*N(J33)</f>
        <v/>
      </c>
      <c r="M33" s="92">
        <f>K33+L33</f>
        <v/>
      </c>
      <c r="N33" s="111" t="inlineStr">
        <is>
          <t>PROVISIONAL - architect; ground levels scaled from the elevations</t>
        </is>
      </c>
    </row>
    <row r="34" ht="39" customHeight="1">
      <c r="A34" s="80" t="inlineStr">
        <is>
          <t>8E.2</t>
        </is>
      </c>
      <c r="B34" s="80" t="inlineStr">
        <is>
          <t>Garage sectional overhead door 4,555 x 2,394 (BL-D01), insulated, motor + controls, incl. guides / fixings to the ICF reveals</t>
        </is>
      </c>
      <c r="C34" s="80" t="inlineStr">
        <is>
          <t>nr</t>
        </is>
      </c>
      <c r="D34" s="109" t="n"/>
      <c r="E34" s="109" t="n">
        <v>1</v>
      </c>
      <c r="F34" s="109" t="n"/>
      <c r="G34" s="109" t="n"/>
      <c r="H34" s="95">
        <f>SUMPRODUCT($D$7:$G$7,D34:G34)</f>
        <v/>
      </c>
      <c r="I34" s="110" t="n"/>
      <c r="J34" s="110" t="n"/>
      <c r="K34" s="81">
        <f>N(H34)*N(I34)</f>
        <v/>
      </c>
      <c r="L34" s="81">
        <f>N(H34)*N(J34)</f>
        <v/>
      </c>
      <c r="M34" s="92">
        <f>K34+L34</f>
        <v/>
      </c>
      <c r="N34" s="111" t="inlineStr">
        <is>
          <t>PROVISIONAL - garage door supplier (not fitted in the model); lintel by the engineer</t>
        </is>
      </c>
    </row>
    <row r="35" ht="26" customHeight="1">
      <c r="A35" s="80" t="inlineStr">
        <is>
          <t>8E.3</t>
        </is>
      </c>
      <c r="B35" s="80" t="inlineStr">
        <is>
          <t>Basement pool hall / hall glazed screen (drawn, NOT modelled): aluminium screen, size TBC</t>
        </is>
      </c>
      <c r="C35" s="80" t="inlineStr">
        <is>
          <t>item</t>
        </is>
      </c>
      <c r="D35" s="109" t="n"/>
      <c r="E35" s="109" t="n"/>
      <c r="F35" s="109" t="n"/>
      <c r="G35" s="109" t="n"/>
      <c r="H35" s="95" t="n"/>
      <c r="I35" s="110" t="n"/>
      <c r="J35" s="110" t="n"/>
      <c r="K35" s="81">
        <f>IF(ISNUMBER(H35),H35,1)*N(I35)</f>
        <v/>
      </c>
      <c r="L35" s="81">
        <f>IF(ISNUMBER(H35),H35,1)*N(J35)</f>
        <v/>
      </c>
      <c r="M35" s="92">
        <f>K35+L35</f>
        <v/>
      </c>
      <c r="N35" s="111" t="inlineStr">
        <is>
          <t>Lump sum - the rate entered is the amount. PROVISIONAL - not measured</t>
        </is>
      </c>
    </row>
    <row r="37" ht="20" customHeight="1">
      <c r="A37" s="91" t="inlineStr">
        <is>
          <t>PACKAGE SUMMARY  -  Bill 8  Glazing, External Doors, Raked Feature Screens &amp; Garage Door  (package WIN / GLZ; amounts by others, excl. VAT)</t>
        </is>
      </c>
    </row>
    <row r="38" ht="30" customHeight="1">
      <c r="A38" s="79" t="inlineStr">
        <is>
          <t>Section</t>
        </is>
      </c>
      <c r="B38" s="79" t="inlineStr">
        <is>
          <t>Description</t>
        </is>
      </c>
      <c r="C38" s="97" t="n"/>
      <c r="D38" s="97" t="n"/>
      <c r="E38" s="97" t="n"/>
      <c r="F38" s="97" t="n"/>
      <c r="G38" s="97" t="n"/>
      <c r="H38" s="97" t="n"/>
      <c r="I38" s="97" t="n"/>
      <c r="J38" s="98" t="n"/>
      <c r="K38" s="79" t="inlineStr">
        <is>
          <t>Supply
£</t>
        </is>
      </c>
      <c r="L38" s="79" t="inlineStr">
        <is>
          <t>Install
£</t>
        </is>
      </c>
      <c r="M38" s="79" t="inlineStr">
        <is>
          <t>Total
£</t>
        </is>
      </c>
      <c r="N38" s="79" t="inlineStr"/>
    </row>
    <row r="39" ht="16" customHeight="1">
      <c r="A39" s="112" t="inlineStr">
        <is>
          <t>8A</t>
        </is>
      </c>
      <c r="B39" s="80" t="inlineStr">
        <is>
          <t>Windows - UPVC casements (NRM2 25 - package WIN; window supplier)</t>
        </is>
      </c>
      <c r="C39" s="86" t="n"/>
      <c r="D39" s="86" t="n"/>
      <c r="E39" s="86" t="n"/>
      <c r="F39" s="86" t="n"/>
      <c r="G39" s="86" t="n"/>
      <c r="H39" s="86" t="n"/>
      <c r="I39" s="86" t="n"/>
      <c r="J39" s="86" t="n"/>
      <c r="K39" s="81">
        <f>SUM(K9:K17)</f>
        <v/>
      </c>
      <c r="L39" s="81">
        <f>SUM(L9:L17)</f>
        <v/>
      </c>
      <c r="M39" s="92">
        <f>SUM(M9:M17)</f>
        <v/>
      </c>
    </row>
    <row r="40" ht="16" customHeight="1">
      <c r="A40" s="112" t="inlineStr">
        <is>
          <t>8B</t>
        </is>
      </c>
      <c r="B40" s="80" t="inlineStr">
        <is>
          <t>External doors (NRM2 25 - package WIN)</t>
        </is>
      </c>
      <c r="C40" s="86" t="n"/>
      <c r="D40" s="86" t="n"/>
      <c r="E40" s="86" t="n"/>
      <c r="F40" s="86" t="n"/>
      <c r="G40" s="86" t="n"/>
      <c r="H40" s="86" t="n"/>
      <c r="I40" s="86" t="n"/>
      <c r="J40" s="86" t="n"/>
      <c r="K40" s="81">
        <f>SUM(K19:K21)</f>
        <v/>
      </c>
      <c r="L40" s="81">
        <f>SUM(L19:L21)</f>
        <v/>
      </c>
      <c r="M40" s="92">
        <f>SUM(M19:M21)</f>
        <v/>
      </c>
    </row>
    <row r="41" ht="16" customHeight="1">
      <c r="A41" s="112" t="inlineStr">
        <is>
          <t>8C</t>
        </is>
      </c>
      <c r="B41" s="80" t="inlineStr">
        <is>
          <t>Glazed screens - stair (NRM2 25 - package WIN)</t>
        </is>
      </c>
      <c r="C41" s="86" t="n"/>
      <c r="D41" s="86" t="n"/>
      <c r="E41" s="86" t="n"/>
      <c r="F41" s="86" t="n"/>
      <c r="G41" s="86" t="n"/>
      <c r="H41" s="86" t="n"/>
      <c r="I41" s="86" t="n"/>
      <c r="J41" s="86" t="n"/>
      <c r="K41" s="81">
        <f>SUM(K23:K24)</f>
        <v/>
      </c>
      <c r="L41" s="81">
        <f>SUM(L23:L24)</f>
        <v/>
      </c>
      <c r="M41" s="92">
        <f>SUM(M23:M24)</f>
        <v/>
      </c>
    </row>
    <row r="42" ht="16" customHeight="1">
      <c r="A42" s="112" t="inlineStr">
        <is>
          <t>8D</t>
        </is>
      </c>
      <c r="B42" s="80" t="inlineStr">
        <is>
          <t>Raked feature glazing screens to the vaulted roof / glazed gables (NRM2 25 - package GLZ; GLAZING SPECIALIST)</t>
        </is>
      </c>
      <c r="C42" s="86" t="n"/>
      <c r="D42" s="86" t="n"/>
      <c r="E42" s="86" t="n"/>
      <c r="F42" s="86" t="n"/>
      <c r="G42" s="86" t="n"/>
      <c r="H42" s="86" t="n"/>
      <c r="I42" s="86" t="n"/>
      <c r="J42" s="86" t="n"/>
      <c r="K42" s="81">
        <f>SUM(K26:K31)</f>
        <v/>
      </c>
      <c r="L42" s="81">
        <f>SUM(L26:L31)</f>
        <v/>
      </c>
      <c r="M42" s="92">
        <f>SUM(M26:M31)</f>
        <v/>
      </c>
    </row>
    <row r="43" ht="16" customHeight="1">
      <c r="A43" s="112" t="inlineStr">
        <is>
          <t>8E</t>
        </is>
      </c>
      <c r="B43" s="80" t="inlineStr">
        <is>
          <t>Guarding, garage door and items not modelled (PROVISIONAL)</t>
        </is>
      </c>
      <c r="C43" s="86" t="n"/>
      <c r="D43" s="86" t="n"/>
      <c r="E43" s="86" t="n"/>
      <c r="F43" s="86" t="n"/>
      <c r="G43" s="86" t="n"/>
      <c r="H43" s="86" t="n"/>
      <c r="I43" s="86" t="n"/>
      <c r="J43" s="86" t="n"/>
      <c r="K43" s="81">
        <f>SUM(K33:K35)</f>
        <v/>
      </c>
      <c r="L43" s="81">
        <f>SUM(L33:L35)</f>
        <v/>
      </c>
      <c r="M43" s="92">
        <f>SUM(M33:M35)</f>
        <v/>
      </c>
    </row>
    <row r="44" ht="20" customHeight="1">
      <c r="A44" s="113" t="inlineStr">
        <is>
          <t>PACKAGE TOTAL - Bill 8, carried to the Cover overview</t>
        </is>
      </c>
      <c r="K44" s="83">
        <f>SUM(K39:K43)</f>
        <v/>
      </c>
      <c r="L44" s="83">
        <f>SUM(L39:L43)</f>
        <v/>
      </c>
      <c r="M44" s="83">
        <f>SUM(M39:M43)</f>
        <v/>
      </c>
    </row>
    <row r="45" ht="24" customHeight="1">
      <c r="A45"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9">
    <mergeCell ref="C1:N1"/>
    <mergeCell ref="B9:N9"/>
    <mergeCell ref="B42:J42"/>
    <mergeCell ref="A45:N45"/>
    <mergeCell ref="B38:J38"/>
    <mergeCell ref="A44:J44"/>
    <mergeCell ref="C2:N2"/>
    <mergeCell ref="B26:N26"/>
    <mergeCell ref="A25:N25"/>
    <mergeCell ref="B40:J40"/>
    <mergeCell ref="A37:N37"/>
    <mergeCell ref="A18:N18"/>
    <mergeCell ref="B41:J41"/>
    <mergeCell ref="A32:N32"/>
    <mergeCell ref="A8:N8"/>
    <mergeCell ref="A22:N22"/>
    <mergeCell ref="A4:N4"/>
    <mergeCell ref="B43:J43"/>
    <mergeCell ref="B39:J39"/>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1:N32"/>
  <sheetViews>
    <sheetView showGridLines="0" workbookViewId="0">
      <pane ySplit="7" topLeftCell="A8" activePane="bottomLeft" state="frozen"/>
      <selection pane="bottomLeft" activeCell="A1" sqref="A1"/>
    </sheetView>
  </sheetViews>
  <sheetFormatPr baseColWidth="8" defaultRowHeight="15"/>
  <cols>
    <col width="8" customWidth="1" min="1" max="1"/>
    <col width="52" customWidth="1" min="2" max="2"/>
    <col width="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3" customWidth="1" min="11" max="11"/>
    <col width="13" customWidth="1" min="12" max="12"/>
    <col width="14" customWidth="1" min="13" max="13"/>
    <col width="40" customWidth="1" min="14" max="14"/>
  </cols>
  <sheetData>
    <row r="1" ht="22" customHeight="1">
      <c r="C1" s="70" t="inlineStr">
        <is>
          <t>Bill 9 - Basement Waterproofing (BS 8102) &amp; ICF Pool Tank - PROVISIONAL</t>
        </is>
      </c>
    </row>
    <row r="2" ht="26" customHeight="1">
      <c r="C2" s="103" t="inlineStr">
        <is>
          <t>Provisional quantities for the BS 8102 waterproofing specialist (Types A / B / C) and the pool specialist (pool tank finishes, coping, plant).  [NRM2 17 / package WPF / POOL]</t>
        </is>
      </c>
    </row>
    <row r="3" ht="4" customHeight="1">
      <c r="A3" s="72" t="n"/>
      <c r="B3" s="72" t="n"/>
      <c r="C3" s="72" t="n"/>
      <c r="D3" s="72" t="n"/>
      <c r="E3" s="72" t="n"/>
      <c r="F3" s="72" t="n"/>
      <c r="G3" s="72" t="n"/>
      <c r="H3" s="72" t="n"/>
      <c r="I3" s="72" t="n"/>
      <c r="J3" s="72" t="n"/>
      <c r="K3" s="72" t="n"/>
      <c r="L3" s="72" t="n"/>
      <c r="M3" s="72" t="n"/>
      <c r="N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Ref</t>
        </is>
      </c>
      <c r="B6" s="79" t="inlineStr">
        <is>
          <t>Description</t>
        </is>
      </c>
      <c r="C6" s="79" t="inlineStr">
        <is>
          <t>Unit</t>
        </is>
      </c>
      <c r="D6" s="79" t="inlineStr">
        <is>
          <t>P pool
tank</t>
        </is>
      </c>
      <c r="E6" s="79" t="inlineStr">
        <is>
          <t>BL
basement</t>
        </is>
      </c>
      <c r="F6" s="79" t="inlineStr">
        <is>
          <t>FB master
footing</t>
        </is>
      </c>
      <c r="G6" s="79" t="inlineStr">
        <is>
          <t>L1 ground
floor</t>
        </is>
      </c>
      <c r="H6" s="79" t="inlineStr">
        <is>
          <t>Site total
qty</t>
        </is>
      </c>
      <c r="I6" s="79" t="inlineStr">
        <is>
          <t>Supply rate
£</t>
        </is>
      </c>
      <c r="J6" s="79" t="inlineStr">
        <is>
          <t>Install rate
£</t>
        </is>
      </c>
      <c r="K6" s="79" t="inlineStr">
        <is>
          <t>Supply
£</t>
        </is>
      </c>
      <c r="L6" s="79" t="inlineStr">
        <is>
          <t>Install
£</t>
        </is>
      </c>
      <c r="M6" s="79" t="inlineStr">
        <is>
          <t>Line total
£</t>
        </is>
      </c>
      <c r="N6" s="79" t="inlineStr">
        <is>
          <t>Notes</t>
        </is>
      </c>
    </row>
    <row r="7" ht="34" customHeight="1">
      <c r="B7" s="104" t="inlineStr">
        <is>
          <t>One building - quantity per level (Site total = sum of the levels)</t>
        </is>
      </c>
      <c r="D7" s="105" t="n">
        <v>1</v>
      </c>
      <c r="E7" s="105" t="n">
        <v>1</v>
      </c>
      <c r="F7" s="105" t="n">
        <v>1</v>
      </c>
      <c r="G7" s="105" t="n">
        <v>1</v>
      </c>
      <c r="H7" s="106">
        <f>SUM(D7:G7)</f>
        <v/>
      </c>
      <c r="N7" s="107" t="inlineStr">
        <is>
          <t>Levels: P = pool tank: 3 courses 10in Std, -5,029 to -3,658 (on the pool base); BL = basement: 8 courses 10in Std, FFL -3,300 - garage, laundry, stores, pool hall; FB = master-suite footing: 2 courses 6in XR35, -914 to 0 (no basement under it); L1 = ground floor: 14 courses 6in XR35 incl. the raked gables, vaulted ceilings</t>
        </is>
      </c>
    </row>
    <row r="8">
      <c r="A8" s="100" t="inlineStr">
        <is>
          <t>9A  BS 8102:2022 waterproofing - PROVISIONAL (NRM2 17 - package WPF; SPECIALIST WATERPROOFING DESIGNER)</t>
        </is>
      </c>
    </row>
    <row r="9" ht="39" customHeight="1">
      <c r="B9" s="108" t="inlineStr">
        <is>
          <t>The basement contains habitable space and a pool hall: Grade 3 environment - BS 8102 recommends combined protection (e.g. Type A external barrier + Type B water-resisting structure, and / or a Type C cavity drain). The specialist designer chooses the system; the quantities below are the measured surfaces for each type so it can be priced either way. Below-ground ICF faces = the modelled outer EPS faces less the exposed faces of Bill 1 (Schedule A).</t>
        </is>
      </c>
    </row>
    <row r="10" ht="39" customHeight="1">
      <c r="A10" s="80" t="inlineStr">
        <is>
          <t>9A.1</t>
        </is>
      </c>
      <c r="B10" s="80" t="inlineStr">
        <is>
          <t>Type A: external waterproofing membrane bonded to the below-ground ICF EPS faces (ICF-compatible, solvent-free), lapped onto the raft toe</t>
        </is>
      </c>
      <c r="C10" s="80" t="inlineStr">
        <is>
          <t>m2</t>
        </is>
      </c>
      <c r="D10" s="109" t="n">
        <v>41.996</v>
      </c>
      <c r="E10" s="109" t="n">
        <v>125.392</v>
      </c>
      <c r="F10" s="109" t="n">
        <v>8.914999999999999</v>
      </c>
      <c r="G10" s="109" t="n"/>
      <c r="H10" s="95">
        <f>SUMPRODUCT($D$7:$G$7,D10:G10)</f>
        <v/>
      </c>
      <c r="I10" s="110" t="n"/>
      <c r="J10" s="110" t="n"/>
      <c r="K10" s="81">
        <f>N(H10)*N(I10)</f>
        <v/>
      </c>
      <c r="L10" s="81">
        <f>N(H10)*N(J10)</f>
        <v/>
      </c>
      <c r="M10" s="92">
        <f>K10+L10</f>
        <v/>
      </c>
      <c r="N10" s="111" t="inlineStr">
        <is>
          <t>Order guide +15% = 202.7</t>
        </is>
      </c>
    </row>
    <row r="11" ht="26" customHeight="1">
      <c r="A11" s="80" t="inlineStr">
        <is>
          <t>9A.2</t>
        </is>
      </c>
      <c r="B11" s="80" t="inlineStr">
        <is>
          <t>Protection board / drainage composite over the membrane before backfill</t>
        </is>
      </c>
      <c r="C11" s="80" t="inlineStr">
        <is>
          <t>m2</t>
        </is>
      </c>
      <c r="D11" s="109" t="n">
        <v>41.996</v>
      </c>
      <c r="E11" s="109" t="n">
        <v>125.392</v>
      </c>
      <c r="F11" s="109" t="n">
        <v>8.914999999999999</v>
      </c>
      <c r="G11" s="109" t="n"/>
      <c r="H11" s="95">
        <f>SUMPRODUCT($D$7:$G$7,D11:G11)</f>
        <v/>
      </c>
      <c r="I11" s="110" t="n"/>
      <c r="J11" s="110" t="n"/>
      <c r="K11" s="81">
        <f>N(H11)*N(I11)</f>
        <v/>
      </c>
      <c r="L11" s="81">
        <f>N(H11)*N(J11)</f>
        <v/>
      </c>
      <c r="M11" s="92">
        <f>K11+L11</f>
        <v/>
      </c>
      <c r="N11" s="111" t="inlineStr"/>
    </row>
    <row r="12" ht="26" customHeight="1">
      <c r="A12" s="80" t="inlineStr">
        <is>
          <t>9A.3</t>
        </is>
      </c>
      <c r="B12" s="80" t="inlineStr">
        <is>
          <t>Type B: water-resisting admixture / mix for the pool base + pool tank cores and the raft + basement wall cores</t>
        </is>
      </c>
      <c r="C12" s="80" t="inlineStr">
        <is>
          <t>m3</t>
        </is>
      </c>
      <c r="D12" s="109" t="n">
        <v>30.192</v>
      </c>
      <c r="E12" s="109" t="n">
        <v>108.717</v>
      </c>
      <c r="F12" s="109" t="n"/>
      <c r="G12" s="109" t="n"/>
      <c r="H12" s="95">
        <f>SUMPRODUCT($D$7:$G$7,D12:G12)</f>
        <v/>
      </c>
      <c r="I12" s="110" t="n"/>
      <c r="J12" s="110" t="n"/>
      <c r="K12" s="81">
        <f>N(H12)*N(I12)</f>
        <v/>
      </c>
      <c r="L12" s="81">
        <f>N(H12)*N(J12)</f>
        <v/>
      </c>
      <c r="M12" s="92">
        <f>K12+L12</f>
        <v/>
      </c>
      <c r="N12" s="111" t="inlineStr">
        <is>
          <t>Raft 53.2 + pool base 17.87 + ICF cores P 12.3 / BL 55.5 (geometric)</t>
        </is>
      </c>
    </row>
    <row r="13" ht="39" customHeight="1">
      <c r="A13" s="80" t="inlineStr">
        <is>
          <t>9A.4</t>
        </is>
      </c>
      <c r="B13" s="80" t="inlineStr">
        <is>
          <t>Hydrophilic / crystalline waterstop at the base-to-wall construction joints (pool base / pool walls; raft / basement walls)</t>
        </is>
      </c>
      <c r="C13" s="80" t="inlineStr">
        <is>
          <t>m</t>
        </is>
      </c>
      <c r="D13" s="109" t="n">
        <v>29.104</v>
      </c>
      <c r="E13" s="109" t="n">
        <v>60.382</v>
      </c>
      <c r="F13" s="109" t="n"/>
      <c r="G13" s="109" t="n"/>
      <c r="H13" s="95">
        <f>SUMPRODUCT($D$7:$G$7,D13:G13)</f>
        <v/>
      </c>
      <c r="I13" s="110" t="n"/>
      <c r="J13" s="110" t="n"/>
      <c r="K13" s="81">
        <f>N(H13)*N(I13)</f>
        <v/>
      </c>
      <c r="L13" s="81">
        <f>N(H13)*N(J13)</f>
        <v/>
      </c>
      <c r="M13" s="92">
        <f>K13+L13</f>
        <v/>
      </c>
      <c r="N13" s="111" t="inlineStr">
        <is>
          <t>Wall centre-line lengths</t>
        </is>
      </c>
    </row>
    <row r="14" ht="39" customHeight="1">
      <c r="A14" s="80" t="inlineStr">
        <is>
          <t>9A.5</t>
        </is>
      </c>
      <c r="B14" s="80" t="inlineStr">
        <is>
          <t>Type C: cavity drain membrane to the basement inner wall faces (if specified) incl. fixings / plugs and sealing to the floor membrane</t>
        </is>
      </c>
      <c r="C14" s="80" t="inlineStr">
        <is>
          <t>m2</t>
        </is>
      </c>
      <c r="D14" s="109" t="n"/>
      <c r="E14" s="109" t="n">
        <v>158.695</v>
      </c>
      <c r="F14" s="109" t="n"/>
      <c r="G14" s="109" t="n"/>
      <c r="H14" s="95">
        <f>SUMPRODUCT($D$7:$G$7,D14:G14)</f>
        <v/>
      </c>
      <c r="I14" s="110" t="n"/>
      <c r="J14" s="110" t="n"/>
      <c r="K14" s="81">
        <f>N(H14)*N(I14)</f>
        <v/>
      </c>
      <c r="L14" s="81">
        <f>N(H14)*N(J14)</f>
        <v/>
      </c>
      <c r="M14" s="92">
        <f>K14+L14</f>
        <v/>
      </c>
      <c r="N14" s="111" t="inlineStr"/>
    </row>
    <row r="15" ht="26" customHeight="1">
      <c r="A15" s="80" t="inlineStr">
        <is>
          <t>9A.6</t>
        </is>
      </c>
      <c r="B15" s="80" t="inlineStr">
        <is>
          <t>Type C: cavity drain floor membrane under the insulation / screed (if specified)</t>
        </is>
      </c>
      <c r="C15" s="80" t="inlineStr">
        <is>
          <t>m2</t>
        </is>
      </c>
      <c r="D15" s="109" t="n"/>
      <c r="E15" s="109" t="n">
        <v>140.32</v>
      </c>
      <c r="F15" s="109" t="n"/>
      <c r="G15" s="109" t="n"/>
      <c r="H15" s="95">
        <f>SUMPRODUCT($D$7:$G$7,D15:G15)</f>
        <v/>
      </c>
      <c r="I15" s="110" t="n"/>
      <c r="J15" s="110" t="n"/>
      <c r="K15" s="81">
        <f>N(H15)*N(I15)</f>
        <v/>
      </c>
      <c r="L15" s="81">
        <f>N(H15)*N(J15)</f>
        <v/>
      </c>
      <c r="M15" s="92">
        <f>K15+L15</f>
        <v/>
      </c>
      <c r="N15" s="111" t="inlineStr"/>
    </row>
    <row r="16" ht="15" customHeight="1">
      <c r="A16" s="80" t="inlineStr">
        <is>
          <t>9A.7</t>
        </is>
      </c>
      <c r="B16" s="80" t="inlineStr">
        <is>
          <t>Type C: perimeter drainage channel to the sump</t>
        </is>
      </c>
      <c r="C16" s="80" t="inlineStr">
        <is>
          <t>m</t>
        </is>
      </c>
      <c r="D16" s="109" t="n"/>
      <c r="E16" s="109" t="n">
        <v>58.283</v>
      </c>
      <c r="F16" s="109" t="n"/>
      <c r="G16" s="109" t="n"/>
      <c r="H16" s="95">
        <f>SUMPRODUCT($D$7:$G$7,D16:G16)</f>
        <v/>
      </c>
      <c r="I16" s="110" t="n"/>
      <c r="J16" s="110" t="n"/>
      <c r="K16" s="81">
        <f>N(H16)*N(I16)</f>
        <v/>
      </c>
      <c r="L16" s="81">
        <f>N(H16)*N(J16)</f>
        <v/>
      </c>
      <c r="M16" s="92">
        <f>K16+L16</f>
        <v/>
      </c>
      <c r="N16" s="111" t="inlineStr"/>
    </row>
    <row r="17" ht="26" customHeight="1">
      <c r="A17" s="80" t="inlineStr">
        <is>
          <t>9A.8</t>
        </is>
      </c>
      <c r="B17" s="80" t="inlineStr">
        <is>
          <t>Sump chamber with twin pumps, high-level alarm and battery back-up, discharge to the drainage</t>
        </is>
      </c>
      <c r="C17" s="80" t="inlineStr">
        <is>
          <t>nr</t>
        </is>
      </c>
      <c r="D17" s="109" t="n"/>
      <c r="E17" s="109" t="n">
        <v>1</v>
      </c>
      <c r="F17" s="109" t="n"/>
      <c r="G17" s="109" t="n"/>
      <c r="H17" s="95">
        <f>SUMPRODUCT($D$7:$G$7,D17:G17)</f>
        <v/>
      </c>
      <c r="I17" s="110" t="n"/>
      <c r="J17" s="110" t="n"/>
      <c r="K17" s="81">
        <f>N(H17)*N(I17)</f>
        <v/>
      </c>
      <c r="L17" s="81">
        <f>N(H17)*N(J17)</f>
        <v/>
      </c>
      <c r="M17" s="92">
        <f>K17+L17</f>
        <v/>
      </c>
      <c r="N17" s="111" t="inlineStr">
        <is>
          <t>Specialist; maintenance access</t>
        </is>
      </c>
    </row>
    <row r="18" ht="26" customHeight="1">
      <c r="A18" s="80" t="inlineStr">
        <is>
          <t>9A.9</t>
        </is>
      </c>
      <c r="B18" s="80" t="inlineStr">
        <is>
          <t>Perimeter land drain at raft level (perforated pipe in clean stone, geotextile wrap) incl. rodding points</t>
        </is>
      </c>
      <c r="C18" s="80" t="inlineStr">
        <is>
          <t>m</t>
        </is>
      </c>
      <c r="D18" s="109" t="n"/>
      <c r="E18" s="109" t="n">
        <v>58.844</v>
      </c>
      <c r="F18" s="109" t="n"/>
      <c r="G18" s="109" t="n"/>
      <c r="H18" s="95">
        <f>SUMPRODUCT($D$7:$G$7,D18:G18)</f>
        <v/>
      </c>
      <c r="I18" s="110" t="n"/>
      <c r="J18" s="110" t="n"/>
      <c r="K18" s="81">
        <f>N(H18)*N(I18)</f>
        <v/>
      </c>
      <c r="L18" s="81">
        <f>N(H18)*N(J18)</f>
        <v/>
      </c>
      <c r="M18" s="92">
        <f>K18+L18</f>
        <v/>
      </c>
      <c r="N18" s="111" t="inlineStr">
        <is>
          <t>Outer perimeter of the basement walls incl. the rear retaining wall</t>
        </is>
      </c>
    </row>
    <row r="19" ht="26" customHeight="1">
      <c r="A19" s="80" t="inlineStr">
        <is>
          <t>9A.10</t>
        </is>
      </c>
      <c r="B19" s="80" t="inlineStr">
        <is>
          <t>BS 8102 waterproofing design, inspection and insurance-backed guarantee (specialist)</t>
        </is>
      </c>
      <c r="C19" s="80" t="inlineStr">
        <is>
          <t>item</t>
        </is>
      </c>
      <c r="D19" s="109" t="n"/>
      <c r="E19" s="109" t="n"/>
      <c r="F19" s="109" t="n"/>
      <c r="G19" s="109" t="n"/>
      <c r="H19" s="95" t="n"/>
      <c r="I19" s="110" t="n"/>
      <c r="J19" s="110" t="n"/>
      <c r="K19" s="81">
        <f>IF(ISNUMBER(H19),H19,1)*N(I19)</f>
        <v/>
      </c>
      <c r="L19" s="81">
        <f>IF(ISNUMBER(H19),H19,1)*N(J19)</f>
        <v/>
      </c>
      <c r="M19" s="92">
        <f>K19+L19</f>
        <v/>
      </c>
      <c r="N19" s="111" t="inlineStr">
        <is>
          <t>Lump sum - the rate entered is the amount. Specialist</t>
        </is>
      </c>
    </row>
    <row r="20">
      <c r="A20" s="100" t="inlineStr">
        <is>
          <t>9B  ICF pool tank (NRM2 - package POOL; POOL SPECIALIST - PROVISIONAL)</t>
        </is>
      </c>
    </row>
    <row r="21" ht="26" customHeight="1">
      <c r="B21" s="108" t="inlineStr">
        <is>
          <t>Pool tank in ICF (Tom 20.10): outline only on the drawings - 3.9 x 9.8 m inside, ~1.5 m water depth ASSUMED (pool floor ~-4,800), walls 3 courses from -5,029 on the pool base; the basement floor build-up forms the coping. Structure, tanking, finishes and plant by the pool specialist / engineer.</t>
        </is>
      </c>
    </row>
    <row r="22" ht="26" customHeight="1">
      <c r="A22" s="80" t="inlineStr">
        <is>
          <t>9B.1</t>
        </is>
      </c>
      <c r="B22" s="80" t="inlineStr">
        <is>
          <t>Pool tank wall inner faces (ICF EPS): pool tanking / render system + tiling or liner</t>
        </is>
      </c>
      <c r="C22" s="80" t="inlineStr">
        <is>
          <t>m2</t>
        </is>
      </c>
      <c r="D22" s="109" t="n">
        <v>37.837</v>
      </c>
      <c r="E22" s="109" t="n"/>
      <c r="F22" s="109" t="n"/>
      <c r="G22" s="109" t="n"/>
      <c r="H22" s="95">
        <f>SUMPRODUCT($D$7:$G$7,D22:G22)</f>
        <v/>
      </c>
      <c r="I22" s="110" t="n"/>
      <c r="J22" s="110" t="n"/>
      <c r="K22" s="81">
        <f>N(H22)*N(I22)</f>
        <v/>
      </c>
      <c r="L22" s="81">
        <f>N(H22)*N(J22)</f>
        <v/>
      </c>
      <c r="M22" s="92">
        <f>K22+L22</f>
        <v/>
      </c>
      <c r="N22" s="111" t="inlineStr">
        <is>
          <t>Modelled inner faces of the pool tank</t>
        </is>
      </c>
    </row>
    <row r="23" ht="26" customHeight="1">
      <c r="A23" s="80" t="inlineStr">
        <is>
          <t>9B.2</t>
        </is>
      </c>
      <c r="B23" s="80" t="inlineStr">
        <is>
          <t>Pool floor: screed to falls / profile + tanking + tiling or liner</t>
        </is>
      </c>
      <c r="C23" s="80" t="inlineStr">
        <is>
          <t>m2</t>
        </is>
      </c>
      <c r="D23" s="109" t="n">
        <v>38.749</v>
      </c>
      <c r="E23" s="109" t="n"/>
      <c r="F23" s="109" t="n"/>
      <c r="G23" s="109" t="n"/>
      <c r="H23" s="95">
        <f>SUMPRODUCT($D$7:$G$7,D23:G23)</f>
        <v/>
      </c>
      <c r="I23" s="110" t="n"/>
      <c r="J23" s="110" t="n"/>
      <c r="K23" s="81">
        <f>N(H23)*N(I23)</f>
        <v/>
      </c>
      <c r="L23" s="81">
        <f>N(H23)*N(J23)</f>
        <v/>
      </c>
      <c r="M23" s="92">
        <f>K23+L23</f>
        <v/>
      </c>
      <c r="N23" s="111" t="inlineStr">
        <is>
          <t>3.9 x 9.8 inside</t>
        </is>
      </c>
    </row>
    <row r="24" ht="15" customHeight="1">
      <c r="A24" s="80" t="inlineStr">
        <is>
          <t>9B.3</t>
        </is>
      </c>
      <c r="B24" s="80" t="inlineStr">
        <is>
          <t>Pool coping / edge detail at the basement floor level</t>
        </is>
      </c>
      <c r="C24" s="80" t="inlineStr">
        <is>
          <t>m</t>
        </is>
      </c>
      <c r="D24" s="109" t="n">
        <v>27.554</v>
      </c>
      <c r="E24" s="109" t="n"/>
      <c r="F24" s="109" t="n"/>
      <c r="G24" s="109" t="n"/>
      <c r="H24" s="95">
        <f>SUMPRODUCT($D$7:$G$7,D24:G24)</f>
        <v/>
      </c>
      <c r="I24" s="110" t="n"/>
      <c r="J24" s="110" t="n"/>
      <c r="K24" s="81">
        <f>N(H24)*N(I24)</f>
        <v/>
      </c>
      <c r="L24" s="81">
        <f>N(H24)*N(J24)</f>
        <v/>
      </c>
      <c r="M24" s="92">
        <f>K24+L24</f>
        <v/>
      </c>
      <c r="N24" s="111" t="inlineStr"/>
    </row>
    <row r="25" ht="39" customHeight="1">
      <c r="A25" s="80" t="inlineStr">
        <is>
          <t>9B.4</t>
        </is>
      </c>
      <c r="B25" s="80" t="inlineStr">
        <is>
          <t>Pool plant, filtration, heating, dehumidification / ventilation of the pool hall, pipework through the ICF (sleeves)</t>
        </is>
      </c>
      <c r="C25" s="80" t="inlineStr">
        <is>
          <t>item</t>
        </is>
      </c>
      <c r="D25" s="109" t="n"/>
      <c r="E25" s="109" t="n"/>
      <c r="F25" s="109" t="n"/>
      <c r="G25" s="109" t="n"/>
      <c r="H25" s="95" t="n"/>
      <c r="I25" s="110" t="n"/>
      <c r="J25" s="110" t="n"/>
      <c r="K25" s="81">
        <f>IF(ISNUMBER(H25),H25,1)*N(I25)</f>
        <v/>
      </c>
      <c r="L25" s="81">
        <f>IF(ISNUMBER(H25),H25,1)*N(J25)</f>
        <v/>
      </c>
      <c r="M25" s="92">
        <f>K25+L25</f>
        <v/>
      </c>
      <c r="N25" s="111" t="inlineStr">
        <is>
          <t>Lump sum - the rate entered is the amount. PC sum - pool specialist / M&amp;E; not measured</t>
        </is>
      </c>
    </row>
    <row r="27" ht="20" customHeight="1">
      <c r="A27" s="91" t="inlineStr">
        <is>
          <t>PACKAGE SUMMARY  -  Bill 9  Basement Waterproofing (BS 8102) &amp; ICF Pool Tank - PROVISIONAL  (package WPF / POOL; amounts by others, excl. VAT)</t>
        </is>
      </c>
    </row>
    <row r="28" ht="30" customHeight="1">
      <c r="A28" s="79" t="inlineStr">
        <is>
          <t>Section</t>
        </is>
      </c>
      <c r="B28" s="79" t="inlineStr">
        <is>
          <t>Description</t>
        </is>
      </c>
      <c r="C28" s="97" t="n"/>
      <c r="D28" s="97" t="n"/>
      <c r="E28" s="97" t="n"/>
      <c r="F28" s="97" t="n"/>
      <c r="G28" s="97" t="n"/>
      <c r="H28" s="97" t="n"/>
      <c r="I28" s="97" t="n"/>
      <c r="J28" s="98" t="n"/>
      <c r="K28" s="79" t="inlineStr">
        <is>
          <t>Supply
£</t>
        </is>
      </c>
      <c r="L28" s="79" t="inlineStr">
        <is>
          <t>Install
£</t>
        </is>
      </c>
      <c r="M28" s="79" t="inlineStr">
        <is>
          <t>Total
£</t>
        </is>
      </c>
      <c r="N28" s="79" t="inlineStr"/>
    </row>
    <row r="29" ht="16" customHeight="1">
      <c r="A29" s="112" t="inlineStr">
        <is>
          <t>9A</t>
        </is>
      </c>
      <c r="B29" s="80" t="inlineStr">
        <is>
          <t>BS 8102:2022 waterproofing - PROVISIONAL (NRM2 17 - package WPF; SPECIALIST WATERPROOFING DESIGNER)</t>
        </is>
      </c>
      <c r="C29" s="86" t="n"/>
      <c r="D29" s="86" t="n"/>
      <c r="E29" s="86" t="n"/>
      <c r="F29" s="86" t="n"/>
      <c r="G29" s="86" t="n"/>
      <c r="H29" s="86" t="n"/>
      <c r="I29" s="86" t="n"/>
      <c r="J29" s="86" t="n"/>
      <c r="K29" s="81">
        <f>SUM(K9:K19)</f>
        <v/>
      </c>
      <c r="L29" s="81">
        <f>SUM(L9:L19)</f>
        <v/>
      </c>
      <c r="M29" s="92">
        <f>SUM(M9:M19)</f>
        <v/>
      </c>
    </row>
    <row r="30" ht="16" customHeight="1">
      <c r="A30" s="112" t="inlineStr">
        <is>
          <t>9B</t>
        </is>
      </c>
      <c r="B30" s="80" t="inlineStr">
        <is>
          <t>ICF pool tank (NRM2 - package POOL; POOL SPECIALIST - PROVISIONAL)</t>
        </is>
      </c>
      <c r="C30" s="86" t="n"/>
      <c r="D30" s="86" t="n"/>
      <c r="E30" s="86" t="n"/>
      <c r="F30" s="86" t="n"/>
      <c r="G30" s="86" t="n"/>
      <c r="H30" s="86" t="n"/>
      <c r="I30" s="86" t="n"/>
      <c r="J30" s="86" t="n"/>
      <c r="K30" s="81">
        <f>SUM(K21:K25)</f>
        <v/>
      </c>
      <c r="L30" s="81">
        <f>SUM(L21:L25)</f>
        <v/>
      </c>
      <c r="M30" s="92">
        <f>SUM(M21:M25)</f>
        <v/>
      </c>
    </row>
    <row r="31" ht="20" customHeight="1">
      <c r="A31" s="113" t="inlineStr">
        <is>
          <t>PACKAGE TOTAL - Bill 9, carried to the Cover overview</t>
        </is>
      </c>
      <c r="K31" s="83">
        <f>SUM(K29:K30)</f>
        <v/>
      </c>
      <c r="L31" s="83">
        <f>SUM(L29:L30)</f>
        <v/>
      </c>
      <c r="M31" s="83">
        <f>SUM(M29:M30)</f>
        <v/>
      </c>
    </row>
    <row r="32" ht="24" customHeight="1">
      <c r="A32" s="93" t="inlineStr">
        <is>
          <t>Pale-yellow cells are the only inputs (Supply rate, Install rate). Amounts, subtotals and totals are formulas; the sheet is protected without a password (Review &gt; Unprotect Sheet). Amounts exclude VAT and are NOT part of the Nudura ICF price.</t>
        </is>
      </c>
    </row>
  </sheetData>
  <sheetProtection selectLockedCells="0" selectUnlockedCells="0" sheet="1" objects="0" insertRows="1" insertHyperlinks="1" autoFilter="1" scenarios="0" formatColumns="0" deleteColumns="1" insertColumns="1" pivotTables="1" deleteRows="1" formatCells="1" formatRows="0" sort="1"/>
  <mergeCells count="13">
    <mergeCell ref="B29:J29"/>
    <mergeCell ref="A27:N27"/>
    <mergeCell ref="A8:N8"/>
    <mergeCell ref="C2:N2"/>
    <mergeCell ref="A31:J31"/>
    <mergeCell ref="C1:N1"/>
    <mergeCell ref="B9:N9"/>
    <mergeCell ref="A4:N4"/>
    <mergeCell ref="B28:J28"/>
    <mergeCell ref="A20:N20"/>
    <mergeCell ref="B21:N21"/>
    <mergeCell ref="A32:N32"/>
    <mergeCell ref="B30:J30"/>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2.xml><?xml version="1.0" encoding="utf-8"?>
<worksheet xmlns="http://schemas.openxmlformats.org/spreadsheetml/2006/main">
  <sheetPr>
    <outlinePr summaryBelow="1" summaryRight="1"/>
    <pageSetUpPr fitToPage="1"/>
  </sheetPr>
  <dimension ref="A1:F36"/>
  <sheetViews>
    <sheetView showGridLines="0" workbookViewId="0">
      <pane ySplit="6" topLeftCell="A7" activePane="bottomLeft" state="frozen"/>
      <selection pane="bottomLeft" activeCell="A1" sqref="A1"/>
    </sheetView>
  </sheetViews>
  <sheetFormatPr baseColWidth="8" defaultRowHeight="15"/>
  <cols>
    <col width="7" customWidth="1" min="1" max="1"/>
    <col width="70" customWidth="1" min="2" max="2"/>
    <col width="34" customWidth="1" min="3" max="3"/>
    <col width="10" customWidth="1" min="4" max="4"/>
    <col width="10" customWidth="1" min="5" max="5"/>
    <col width="11" customWidth="1" min="6" max="6"/>
  </cols>
  <sheetData>
    <row r="1" ht="22" customHeight="1">
      <c r="C1" s="70" t="inlineStr">
        <is>
          <t>Schedule A - Areas: Exposed Faces, Floors, Ceilings and Roof</t>
        </is>
      </c>
    </row>
    <row r="2" ht="18" customHeight="1">
      <c r="C2" s="71" t="inlineStr">
        <is>
          <t>Exposed external faces (ground lines scaled off the elevation renders, +-150), ICF face areas (component export), floor / ceiling / roof areas. Not priced.</t>
        </is>
      </c>
    </row>
    <row r="3" ht="4" customHeight="1">
      <c r="A3" s="72" t="n"/>
      <c r="B3" s="72" t="n"/>
      <c r="C3" s="72" t="n"/>
      <c r="D3" s="72" t="n"/>
      <c r="E3" s="72" t="n"/>
      <c r="F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Level</t>
        </is>
      </c>
      <c r="B6" s="79" t="inlineStr">
        <is>
          <t>Item</t>
        </is>
      </c>
      <c r="C6" s="79" t="inlineStr">
        <is>
          <t>Source</t>
        </is>
      </c>
      <c r="D6" s="79" t="inlineStr">
        <is>
          <t>Length m</t>
        </is>
      </c>
      <c r="E6" s="79" t="inlineStr">
        <is>
          <t>Depth m</t>
        </is>
      </c>
      <c r="F6" s="79" t="inlineStr">
        <is>
          <t>Area m2</t>
        </is>
      </c>
    </row>
    <row r="7">
      <c r="A7" s="80" t="inlineStr">
        <is>
          <t>BL</t>
        </is>
      </c>
      <c r="B7" s="80" t="inlineStr">
        <is>
          <t>Exposed external face: East (pool) wall, outer face x -15.9, y -15.9 to 15,620.9</t>
        </is>
      </c>
      <c r="C7" s="80" t="inlineStr">
        <is>
          <t>east elevation: ground ~1,231 below FFL (pool window sills -1,236)</t>
        </is>
      </c>
      <c r="D7" s="123" t="n">
        <v>15.64</v>
      </c>
      <c r="E7" s="123" t="n">
        <v>1.231</v>
      </c>
      <c r="F7" s="123" t="n">
        <v>19.25</v>
      </c>
    </row>
    <row r="8">
      <c r="A8" s="80" t="inlineStr">
        <is>
          <t>BL</t>
        </is>
      </c>
      <c r="B8" s="80" t="inlineStr">
        <is>
          <t>Exposed external face: Front of the bed-3 wing, outer face y -15.9, x -15.9 to 5,178.7</t>
        </is>
      </c>
      <c r="C8" s="80" t="inlineStr">
        <is>
          <t>front elevation: ground / entrance path 0.90-1.11 below FFL</t>
        </is>
      </c>
      <c r="D8" s="123" t="n">
        <v>5.19</v>
      </c>
      <c r="E8" s="123" t="n">
        <v>1.017</v>
      </c>
      <c r="F8" s="123" t="n">
        <v>5.28</v>
      </c>
    </row>
    <row r="9">
      <c r="A9" s="80" t="inlineStr">
        <is>
          <t>BL</t>
        </is>
      </c>
      <c r="B9" s="80" t="inlineStr">
        <is>
          <t>Exposed external face: Stair pier, front-west face x 7,731.5, y 1,060-2,610 (garage apron)</t>
        </is>
      </c>
      <c r="C9" s="80" t="inlineStr">
        <is>
          <t>front elevation: apron ~3.26 below FFL</t>
        </is>
      </c>
      <c r="D9" s="123" t="n">
        <v>1.55</v>
      </c>
      <c r="E9" s="123" t="n">
        <v>3.263</v>
      </c>
      <c r="F9" s="123" t="n">
        <v>5.06</v>
      </c>
    </row>
    <row r="10">
      <c r="A10" s="80" t="inlineStr">
        <is>
          <t>BL</t>
        </is>
      </c>
      <c r="B10" s="80" t="inlineStr">
        <is>
          <t>Exposed external face: Garage front, outer face y 3,634.1, x 7,360-15,075.9</t>
        </is>
      </c>
      <c r="C10" s="80" t="inlineStr">
        <is>
          <t>front elevation: apron 3.22-3.31 below FFL</t>
        </is>
      </c>
      <c r="D10" s="123" t="n">
        <v>7.72</v>
      </c>
      <c r="E10" s="123" t="n">
        <v>3.263</v>
      </c>
      <c r="F10" s="123" t="n">
        <v>25.18</v>
      </c>
    </row>
    <row r="11">
      <c r="A11" s="80" t="inlineStr">
        <is>
          <t>BL</t>
        </is>
      </c>
      <c r="B11" s="80" t="inlineStr">
        <is>
          <t>Exposed external face: West wall, outer face x 15,075.9, y 3,634.1-15,620.9</t>
        </is>
      </c>
      <c r="C11" s="80" t="inlineStr">
        <is>
          <t>west elevation: 3.31 at the front falling to 2.71 (laundry threshold -2,680)</t>
        </is>
      </c>
      <c r="D11" s="123" t="n">
        <v>11.99</v>
      </c>
      <c r="E11" s="123" t="n">
        <v>2.825</v>
      </c>
      <c r="F11" s="123" t="n">
        <v>33.86</v>
      </c>
    </row>
    <row r="12">
      <c r="A12" s="80" t="inlineStr">
        <is>
          <t>BL</t>
        </is>
      </c>
      <c r="B12" s="80" t="inlineStr">
        <is>
          <t>Exposed external face: Rear wall behind the hall / dining / kitchen, y 15,620.9, x 5,178.7-15,075.9</t>
        </is>
      </c>
      <c r="C12" s="80" t="inlineStr">
        <is>
          <t>rear elevation: terrace at ~DPC - 150 band only</t>
        </is>
      </c>
      <c r="D12" s="123" t="n">
        <v>9.9</v>
      </c>
      <c r="E12" s="123" t="n">
        <v>0.15</v>
      </c>
      <c r="F12" s="123" t="n">
        <v>1.48</v>
      </c>
    </row>
    <row r="13">
      <c r="A13" s="80" t="inlineStr">
        <is>
          <t>FB</t>
        </is>
      </c>
      <c r="B13" s="80" t="inlineStr">
        <is>
          <t>Exposed external face: Master suite east wall, outer face x 0, y 15,620.9-20,445</t>
        </is>
      </c>
      <c r="C13" s="80" t="inlineStr">
        <is>
          <t>east elevation: 1.12 falling to 0.22 below FFL</t>
        </is>
      </c>
      <c r="D13" s="123" t="n">
        <v>4.82</v>
      </c>
      <c r="E13" s="123" t="n">
        <v>0.645</v>
      </c>
      <c r="F13" s="123" t="n">
        <v>3.11</v>
      </c>
    </row>
    <row r="14">
      <c r="A14" s="80" t="inlineStr">
        <is>
          <t>FB</t>
        </is>
      </c>
      <c r="B14" s="80" t="inlineStr">
        <is>
          <t>Exposed external face: Master suite rear wall, y 20,445, x 0-5,162.8</t>
        </is>
      </c>
      <c r="C14" s="80" t="inlineStr">
        <is>
          <t>rear elevation: DPC band</t>
        </is>
      </c>
      <c r="D14" s="123" t="n">
        <v>5.16</v>
      </c>
      <c r="E14" s="123" t="n">
        <v>0.15</v>
      </c>
      <c r="F14" s="123" t="n">
        <v>0.77</v>
      </c>
    </row>
    <row r="15">
      <c r="A15" s="80" t="inlineStr">
        <is>
          <t>FB</t>
        </is>
      </c>
      <c r="B15" s="80" t="inlineStr">
        <is>
          <t>Exposed external face: Master suite west wall to the covered terrace, x 5,162.8</t>
        </is>
      </c>
      <c r="C15" s="80" t="inlineStr">
        <is>
          <t>west elevation: terrace ~DPC</t>
        </is>
      </c>
      <c r="D15" s="123" t="n">
        <v>4.82</v>
      </c>
      <c r="E15" s="123" t="n">
        <v>0.15</v>
      </c>
      <c r="F15" s="123" t="n">
        <v>0.72</v>
      </c>
    </row>
    <row r="16">
      <c r="A16" s="80" t="inlineStr">
        <is>
          <t>BL</t>
        </is>
      </c>
      <c r="B16" s="80" t="inlineStr">
        <is>
          <t>Less basement openings (garage door, pool windows, laundry door) - all above ground</t>
        </is>
      </c>
      <c r="C16" s="80" t="inlineStr">
        <is>
          <t>KB_spec.json</t>
        </is>
      </c>
      <c r="D16" s="80" t="n"/>
      <c r="E16" s="80" t="n"/>
      <c r="F16" s="123" t="n">
        <v>-17.36</v>
      </c>
    </row>
    <row r="17">
      <c r="A17" s="80" t="inlineStr">
        <is>
          <t>L1</t>
        </is>
      </c>
      <c r="B17" s="80" t="inlineStr">
        <is>
          <t>GF external ICF face, FFL to the plate / gable rakes (component outer faces less the hall stub)</t>
        </is>
      </c>
      <c r="C17" s="80" t="inlineStr">
        <is>
          <t>KB_components.json</t>
        </is>
      </c>
      <c r="D17" s="80" t="n"/>
      <c r="E17" s="80" t="n"/>
      <c r="F17" s="123" t="n">
        <v>161.98</v>
      </c>
    </row>
    <row r="18">
      <c r="A18" s="80" t="inlineStr">
        <is>
          <t>BL</t>
        </is>
      </c>
      <c r="B18" s="80" t="inlineStr">
        <is>
          <t>Below-ground ICF outer faces (Type A tanking) = outer faces - exposed - interior faces</t>
        </is>
      </c>
      <c r="C18" s="80" t="inlineStr">
        <is>
          <t>KB_components.json</t>
        </is>
      </c>
      <c r="D18" s="80" t="n"/>
      <c r="E18" s="80" t="n"/>
      <c r="F18" s="123" t="n">
        <v>125.39</v>
      </c>
    </row>
    <row r="19">
      <c r="A19" s="80" t="inlineStr">
        <is>
          <t>P</t>
        </is>
      </c>
      <c r="B19" s="80" t="inlineStr">
        <is>
          <t>Pool tank outer faces (all below ground)</t>
        </is>
      </c>
      <c r="C19" s="80" t="inlineStr">
        <is>
          <t>KB_components.json</t>
        </is>
      </c>
      <c r="D19" s="80" t="n"/>
      <c r="E19" s="80" t="n"/>
      <c r="F19" s="123" t="n">
        <v>42</v>
      </c>
    </row>
    <row r="20">
      <c r="A20" s="80" t="inlineStr">
        <is>
          <t>FB</t>
        </is>
      </c>
      <c r="B20" s="80" t="inlineStr">
        <is>
          <t>Master-suite footing outer faces below ground</t>
        </is>
      </c>
      <c r="C20" s="80" t="inlineStr">
        <is>
          <t>KB_components.json</t>
        </is>
      </c>
      <c r="D20" s="80" t="n"/>
      <c r="E20" s="80" t="n"/>
      <c r="F20" s="123" t="n">
        <v>8.91</v>
      </c>
    </row>
    <row r="21">
      <c r="A21" s="80" t="inlineStr">
        <is>
          <t>BL</t>
        </is>
      </c>
      <c r="B21" s="80" t="inlineStr">
        <is>
          <t>Basement floor build-up (internal, incl. garage, excl. pool hall)</t>
        </is>
      </c>
      <c r="C21" s="80" t="inlineStr">
        <is>
          <t>KB_slabs.json bl_floor</t>
        </is>
      </c>
      <c r="D21" s="80" t="n"/>
      <c r="E21" s="80" t="n"/>
      <c r="F21" s="123" t="n">
        <v>140.32</v>
      </c>
    </row>
    <row r="22">
      <c r="A22" s="80" t="inlineStr">
        <is>
          <t>BL</t>
        </is>
      </c>
      <c r="B22" s="80" t="inlineStr">
        <is>
          <t>Garage (x 7,637-14,689, y 4,022-11,066)</t>
        </is>
      </c>
      <c r="C22" s="80" t="inlineStr">
        <is>
          <t>partition layout</t>
        </is>
      </c>
      <c r="D22" s="80" t="n"/>
      <c r="E22" s="80" t="n"/>
      <c r="F22" s="123" t="n">
        <v>49.05</v>
      </c>
    </row>
    <row r="23">
      <c r="A23" s="80" t="inlineStr">
        <is>
          <t>BL</t>
        </is>
      </c>
      <c r="B23" s="80" t="inlineStr">
        <is>
          <t>Basement rooms ceiling (bl_floor - garage - partition footprints)</t>
        </is>
      </c>
      <c r="C23" s="80" t="inlineStr">
        <is>
          <t>derived</t>
        </is>
      </c>
      <c r="D23" s="80" t="n"/>
      <c r="E23" s="80" t="n"/>
      <c r="F23" s="123" t="n">
        <v>87.54000000000001</v>
      </c>
    </row>
    <row r="24">
      <c r="A24" s="80" t="inlineStr">
        <is>
          <t>BL</t>
        </is>
      </c>
      <c r="B24" s="80" t="inlineStr">
        <is>
          <t>Pool hall (x 372-4,698, y 5,201-15,234)</t>
        </is>
      </c>
      <c r="C24" s="80" t="inlineStr">
        <is>
          <t>KB_slabs.json raft hole</t>
        </is>
      </c>
      <c r="D24" s="80" t="n"/>
      <c r="E24" s="80" t="n"/>
      <c r="F24" s="123" t="n">
        <v>43.4</v>
      </c>
    </row>
    <row r="25">
      <c r="A25" s="80" t="inlineStr">
        <is>
          <t>P</t>
        </is>
      </c>
      <c r="B25" s="80" t="inlineStr">
        <is>
          <t>Pool tank inside (3.9 x 9.8)</t>
        </is>
      </c>
      <c r="C25" s="80" t="inlineStr">
        <is>
          <t>KB_spec dims</t>
        </is>
      </c>
      <c r="D25" s="80" t="n"/>
      <c r="E25" s="80" t="n"/>
      <c r="F25" s="123" t="n">
        <v>38.75</v>
      </c>
    </row>
    <row r="26">
      <c r="A26" s="80" t="inlineStr">
        <is>
          <t>L1</t>
        </is>
      </c>
      <c r="B26" s="80" t="inlineStr">
        <is>
          <t>GF slab outline less half the ICF (inner faces)</t>
        </is>
      </c>
      <c r="C26" s="80" t="inlineStr">
        <is>
          <t>KB_slabs.json gf</t>
        </is>
      </c>
      <c r="D26" s="80" t="n"/>
      <c r="E26" s="80" t="n"/>
      <c r="F26" s="123" t="n">
        <v>177.58</v>
      </c>
    </row>
    <row r="27">
      <c r="A27" s="80" t="inlineStr">
        <is>
          <t>FB</t>
        </is>
      </c>
      <c r="B27" s="80" t="inlineStr">
        <is>
          <t>Master suite (inside the FB footing walls)</t>
        </is>
      </c>
      <c r="C27" s="80" t="inlineStr">
        <is>
          <t>KB_slabs.json ms</t>
        </is>
      </c>
      <c r="D27" s="80" t="n"/>
      <c r="E27" s="80" t="n"/>
      <c r="F27" s="123" t="n">
        <v>19.89</v>
      </c>
    </row>
    <row r="28">
      <c r="A28" s="80" t="inlineStr">
        <is>
          <t>L1</t>
        </is>
      </c>
      <c r="B28" s="80" t="inlineStr">
        <is>
          <t>Entrance + stair well zone (x 4,985-7,360, y 1,060-3,828)</t>
        </is>
      </c>
      <c r="C28" s="80" t="inlineStr">
        <is>
          <t>KB_spec gaps</t>
        </is>
      </c>
      <c r="D28" s="80" t="n"/>
      <c r="E28" s="80" t="n"/>
      <c r="F28" s="123" t="n">
        <v>6.57</v>
      </c>
    </row>
    <row r="29">
      <c r="A29" s="80" t="inlineStr">
        <is>
          <t>L1</t>
        </is>
      </c>
      <c r="B29" s="80" t="inlineStr">
        <is>
          <t>GF over the basement rear wall (wing)</t>
        </is>
      </c>
      <c r="C29" s="80" t="inlineStr">
        <is>
          <t>derived</t>
        </is>
      </c>
      <c r="D29" s="80" t="n"/>
      <c r="E29" s="80" t="n"/>
      <c r="F29" s="123" t="n">
        <v>0.86</v>
      </c>
    </row>
    <row r="30">
      <c r="A30" s="80" t="inlineStr">
        <is>
          <t>L1</t>
        </is>
      </c>
      <c r="B30" s="80" t="inlineStr">
        <is>
          <t>Less GF partition footprints (119)</t>
        </is>
      </c>
      <c r="C30" s="80" t="inlineStr">
        <is>
          <t>TLSTF</t>
        </is>
      </c>
      <c r="D30" s="80" t="n"/>
      <c r="E30" s="80" t="n"/>
      <c r="F30" s="123" t="n">
        <v>-5.12</v>
      </c>
    </row>
    <row r="31">
      <c r="A31" s="80" t="inlineStr">
        <is>
          <t>L1</t>
        </is>
      </c>
      <c r="B31" s="80" t="inlineStr">
        <is>
          <t>GF vaulted ceiling PLAN area (sum of the above GF / master-suite rows)</t>
        </is>
      </c>
      <c r="C31" s="80" t="inlineStr">
        <is>
          <t>derived</t>
        </is>
      </c>
      <c r="D31" s="80" t="n"/>
      <c r="E31" s="80" t="n"/>
      <c r="F31" s="123" t="n">
        <v>199.79</v>
      </c>
    </row>
    <row r="32">
      <c r="A32" s="80" t="inlineStr">
        <is>
          <t>L1</t>
        </is>
      </c>
      <c r="B32" s="80" t="inlineStr">
        <is>
          <t>GF vaulted ceiling ON THE SLOPE (plan x 1.414)</t>
        </is>
      </c>
      <c r="C32" s="80" t="inlineStr">
        <is>
          <t>derived</t>
        </is>
      </c>
      <c r="D32" s="80" t="n"/>
      <c r="E32" s="80" t="n"/>
      <c r="F32" s="123" t="n">
        <v>282.55</v>
      </c>
    </row>
    <row r="33">
      <c r="A33" s="80" t="inlineStr">
        <is>
          <t>L1</t>
        </is>
      </c>
      <c r="B33" s="80" t="inlineStr">
        <is>
          <t>Roof covering plan area (Roof L + Roof R incl. overhangs)</t>
        </is>
      </c>
      <c r="C33" s="80" t="inlineStr">
        <is>
          <t>KB_spec roofs</t>
        </is>
      </c>
      <c r="D33" s="80" t="n"/>
      <c r="E33" s="80" t="n"/>
      <c r="F33" s="123" t="n">
        <v>259.55</v>
      </c>
    </row>
    <row r="34">
      <c r="A34" s="80" t="inlineStr">
        <is>
          <t>L1</t>
        </is>
      </c>
      <c r="B34" s="80" t="inlineStr">
        <is>
          <t>Roof covering on the slope</t>
        </is>
      </c>
      <c r="C34" s="80" t="inlineStr">
        <is>
          <t>derived</t>
        </is>
      </c>
      <c r="D34" s="80" t="n"/>
      <c r="E34" s="80" t="n"/>
      <c r="F34" s="123" t="n">
        <v>367.06</v>
      </c>
    </row>
    <row r="36">
      <c r="A36" s="124" t="inlineStr">
        <is>
          <t>Depth = mean depth of finished ground below GF FFL along the face (capped at the wall height); the BL / FB exposed areas feed Bill 1A.2 / 1A.3.</t>
        </is>
      </c>
    </row>
  </sheetData>
  <sheetProtection selectLockedCells="0" selectUnlockedCells="0" sheet="1" objects="0" insertRows="1" insertHyperlinks="1" autoFilter="1" scenarios="0" formatColumns="0" deleteColumns="1" insertColumns="1" pivotTables="1" deleteRows="1" formatCells="1" formatRows="0" sort="1"/>
  <mergeCells count="3">
    <mergeCell ref="C2:F2"/>
    <mergeCell ref="C1:F1"/>
    <mergeCell ref="A4:F4"/>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3.xml><?xml version="1.0" encoding="utf-8"?>
<worksheet xmlns="http://schemas.openxmlformats.org/spreadsheetml/2006/main">
  <sheetPr>
    <outlinePr summaryBelow="1" summaryRight="1"/>
    <pageSetUpPr fitToPage="1"/>
  </sheetPr>
  <dimension ref="A1:K28"/>
  <sheetViews>
    <sheetView showGridLines="0" workbookViewId="0">
      <pane ySplit="6" topLeftCell="A7" activePane="bottomLeft" state="frozen"/>
      <selection pane="bottomLeft" activeCell="A1" sqref="A1"/>
    </sheetView>
  </sheetViews>
  <sheetFormatPr baseColWidth="8" defaultRowHeight="15"/>
  <cols>
    <col width="6" customWidth="1" min="1" max="1"/>
    <col width="9" customWidth="1" min="2" max="2"/>
    <col width="8" customWidth="1" min="3" max="3"/>
    <col width="13" customWidth="1" min="4" max="4"/>
    <col width="8" customWidth="1" min="5" max="5"/>
    <col width="8" customWidth="1" min="6" max="6"/>
    <col width="8" customWidth="1" min="7" max="7"/>
    <col width="9" customWidth="1" min="8" max="8"/>
    <col width="11" customWidth="1" min="9" max="9"/>
    <col width="11" customWidth="1" min="10" max="10"/>
    <col width="44" customWidth="1" min="11" max="11"/>
  </cols>
  <sheetData>
    <row r="1" ht="22" customHeight="1">
      <c r="C1" s="70" t="inlineStr">
        <is>
          <t>Schedule B - Openings &amp; Glazing Schedule (spec openings + BuildEase window fit)</t>
        </is>
      </c>
    </row>
    <row r="2" ht="18" customHeight="1">
      <c r="C2" s="71" t="inlineStr">
        <is>
          <t>From KB_spec.json (13 ICF openings) and fbw_fit.json (screens in the glazing gaps). Raked screens: gross / glass re-measured from the head profiles. Not priced.</t>
        </is>
      </c>
    </row>
    <row r="3" ht="4" customHeight="1">
      <c r="A3" s="72" t="n"/>
      <c r="B3" s="72" t="n"/>
      <c r="C3" s="72" t="n"/>
      <c r="D3" s="72" t="n"/>
      <c r="E3" s="72" t="n"/>
      <c r="F3" s="72" t="n"/>
      <c r="G3" s="72" t="n"/>
      <c r="H3" s="72" t="n"/>
      <c r="I3" s="72" t="n"/>
      <c r="J3" s="72" t="n"/>
      <c r="K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Level</t>
        </is>
      </c>
      <c r="B6" s="79" t="inlineStr">
        <is>
          <t>Ref</t>
        </is>
      </c>
      <c r="C6" s="79" t="inlineStr">
        <is>
          <t>Type</t>
        </is>
      </c>
      <c r="D6" s="79" t="inlineStr">
        <is>
          <t>Style</t>
        </is>
      </c>
      <c r="E6" s="79" t="inlineStr">
        <is>
          <t>W mm</t>
        </is>
      </c>
      <c r="F6" s="79" t="inlineStr">
        <is>
          <t>H mm</t>
        </is>
      </c>
      <c r="G6" s="79" t="inlineStr">
        <is>
          <t>Sill mm</t>
        </is>
      </c>
      <c r="H6" s="79" t="inlineStr">
        <is>
          <t>Area m2</t>
        </is>
      </c>
      <c r="I6" s="79" t="inlineStr">
        <is>
          <t>Glass m2 (re-measured)</t>
        </is>
      </c>
      <c r="J6" s="79" t="inlineStr">
        <is>
          <t>Glass m2 (fbw_fit)</t>
        </is>
      </c>
      <c r="K6" s="79" t="inlineStr">
        <is>
          <t>Description</t>
        </is>
      </c>
    </row>
    <row r="7">
      <c r="A7" s="80" t="inlineStr">
        <is>
          <t>L1</t>
        </is>
      </c>
      <c r="B7" s="80" t="inlineStr">
        <is>
          <t>L1-W01</t>
        </is>
      </c>
      <c r="C7" s="80" t="inlineStr">
        <is>
          <t>window</t>
        </is>
      </c>
      <c r="D7" s="80" t="inlineStr">
        <is>
          <t>window</t>
        </is>
      </c>
      <c r="E7" s="80" t="n">
        <v>1255</v>
      </c>
      <c r="F7" s="80" t="n">
        <v>2075</v>
      </c>
      <c r="G7" s="80" t="n">
        <v>0</v>
      </c>
      <c r="H7" s="123" t="n">
        <v>2.6</v>
      </c>
      <c r="I7" s="80" t="n"/>
      <c r="J7" s="80" t="n"/>
      <c r="K7" s="80" t="inlineStr">
        <is>
          <t>UPVC casement window, 2 lights (2 opening)</t>
        </is>
      </c>
    </row>
    <row r="8">
      <c r="A8" s="80" t="inlineStr">
        <is>
          <t>L1</t>
        </is>
      </c>
      <c r="B8" s="80" t="inlineStr">
        <is>
          <t>L1-W02</t>
        </is>
      </c>
      <c r="C8" s="80" t="inlineStr">
        <is>
          <t>window</t>
        </is>
      </c>
      <c r="D8" s="80" t="inlineStr">
        <is>
          <t>window</t>
        </is>
      </c>
      <c r="E8" s="80" t="n">
        <v>1250</v>
      </c>
      <c r="F8" s="80" t="n">
        <v>2075</v>
      </c>
      <c r="G8" s="80" t="n">
        <v>0</v>
      </c>
      <c r="H8" s="123" t="n">
        <v>2.59</v>
      </c>
      <c r="I8" s="80" t="n"/>
      <c r="J8" s="80" t="n"/>
      <c r="K8" s="80" t="inlineStr">
        <is>
          <t>UPVC casement window, 2 lights (2 opening)</t>
        </is>
      </c>
    </row>
    <row r="9">
      <c r="A9" s="80" t="inlineStr">
        <is>
          <t>L1</t>
        </is>
      </c>
      <c r="B9" s="80" t="inlineStr">
        <is>
          <t>L1-W03</t>
        </is>
      </c>
      <c r="C9" s="80" t="inlineStr">
        <is>
          <t>window</t>
        </is>
      </c>
      <c r="D9" s="80" t="inlineStr">
        <is>
          <t>window</t>
        </is>
      </c>
      <c r="E9" s="80" t="n">
        <v>2035</v>
      </c>
      <c r="F9" s="80" t="n">
        <v>2075</v>
      </c>
      <c r="G9" s="80" t="n">
        <v>0</v>
      </c>
      <c r="H9" s="123" t="n">
        <v>4.22</v>
      </c>
      <c r="I9" s="80" t="n"/>
      <c r="J9" s="80" t="n"/>
      <c r="K9" s="80" t="inlineStr">
        <is>
          <t>UPVC casement window, 3 lights (2 opening)</t>
        </is>
      </c>
    </row>
    <row r="10">
      <c r="A10" s="80" t="inlineStr">
        <is>
          <t>L1</t>
        </is>
      </c>
      <c r="B10" s="80" t="inlineStr">
        <is>
          <t>L1-W04</t>
        </is>
      </c>
      <c r="C10" s="80" t="inlineStr">
        <is>
          <t>window</t>
        </is>
      </c>
      <c r="D10" s="80" t="inlineStr">
        <is>
          <t>window</t>
        </is>
      </c>
      <c r="E10" s="80" t="n">
        <v>1050</v>
      </c>
      <c r="F10" s="80" t="n">
        <v>2075</v>
      </c>
      <c r="G10" s="80" t="n">
        <v>0</v>
      </c>
      <c r="H10" s="123" t="n">
        <v>2.18</v>
      </c>
      <c r="I10" s="80" t="n"/>
      <c r="J10" s="80" t="n"/>
      <c r="K10" s="80" t="inlineStr">
        <is>
          <t>UPVC casement window, 1 light (1 opening)</t>
        </is>
      </c>
    </row>
    <row r="11">
      <c r="A11" s="80" t="inlineStr">
        <is>
          <t>L1</t>
        </is>
      </c>
      <c r="B11" s="80" t="inlineStr">
        <is>
          <t>L1-D01</t>
        </is>
      </c>
      <c r="C11" s="80" t="inlineStr">
        <is>
          <t>door</t>
        </is>
      </c>
      <c r="D11" s="80" t="inlineStr">
        <is>
          <t>double_door</t>
        </is>
      </c>
      <c r="E11" s="80" t="n">
        <v>3445</v>
      </c>
      <c r="F11" s="80" t="n">
        <v>2075</v>
      </c>
      <c r="G11" s="80" t="n">
        <v>0</v>
      </c>
      <c r="H11" s="123" t="n">
        <v>7.15</v>
      </c>
      <c r="I11" s="80" t="n"/>
      <c r="J11" s="80" t="n"/>
      <c r="K11" s="80" t="inlineStr">
        <is>
          <t>Aluminium bi-fold / glazed doors (PPC, low threshold)</t>
        </is>
      </c>
    </row>
    <row r="12">
      <c r="A12" s="80" t="inlineStr">
        <is>
          <t>L1</t>
        </is>
      </c>
      <c r="B12" s="80" t="inlineStr">
        <is>
          <t>L1-W05</t>
        </is>
      </c>
      <c r="C12" s="80" t="inlineStr">
        <is>
          <t>window</t>
        </is>
      </c>
      <c r="D12" s="80" t="inlineStr">
        <is>
          <t>window</t>
        </is>
      </c>
      <c r="E12" s="80" t="n">
        <v>1250</v>
      </c>
      <c r="F12" s="80" t="n">
        <v>2075</v>
      </c>
      <c r="G12" s="80" t="n">
        <v>0</v>
      </c>
      <c r="H12" s="123" t="n">
        <v>2.59</v>
      </c>
      <c r="I12" s="80" t="n"/>
      <c r="J12" s="80" t="n"/>
      <c r="K12" s="80" t="inlineStr">
        <is>
          <t>UPVC casement window, 2 lights (2 opening)</t>
        </is>
      </c>
    </row>
    <row r="13">
      <c r="A13" s="80" t="inlineStr">
        <is>
          <t>L1</t>
        </is>
      </c>
      <c r="B13" s="80" t="inlineStr">
        <is>
          <t>L1-W06</t>
        </is>
      </c>
      <c r="C13" s="80" t="inlineStr">
        <is>
          <t>window</t>
        </is>
      </c>
      <c r="D13" s="80" t="inlineStr">
        <is>
          <t>window</t>
        </is>
      </c>
      <c r="E13" s="80" t="n">
        <v>1240</v>
      </c>
      <c r="F13" s="80" t="n">
        <v>2075</v>
      </c>
      <c r="G13" s="80" t="n">
        <v>0</v>
      </c>
      <c r="H13" s="123" t="n">
        <v>2.57</v>
      </c>
      <c r="I13" s="80" t="n"/>
      <c r="J13" s="80" t="n"/>
      <c r="K13" s="80" t="inlineStr">
        <is>
          <t>UPVC casement window, 2 lights (2 opening)</t>
        </is>
      </c>
    </row>
    <row r="14">
      <c r="A14" s="80" t="inlineStr">
        <is>
          <t>L1</t>
        </is>
      </c>
      <c r="B14" s="80" t="inlineStr">
        <is>
          <t>L1-W07</t>
        </is>
      </c>
      <c r="C14" s="80" t="inlineStr">
        <is>
          <t>window</t>
        </is>
      </c>
      <c r="D14" s="80" t="inlineStr">
        <is>
          <t>window</t>
        </is>
      </c>
      <c r="E14" s="80" t="n">
        <v>1255</v>
      </c>
      <c r="F14" s="80" t="n">
        <v>2075</v>
      </c>
      <c r="G14" s="80" t="n">
        <v>0</v>
      </c>
      <c r="H14" s="123" t="n">
        <v>2.6</v>
      </c>
      <c r="I14" s="80" t="n"/>
      <c r="J14" s="80" t="n"/>
      <c r="K14" s="80" t="inlineStr">
        <is>
          <t>UPVC casement window, 2 lights (2 opening)</t>
        </is>
      </c>
    </row>
    <row r="15">
      <c r="A15" s="80" t="inlineStr">
        <is>
          <t>L1</t>
        </is>
      </c>
      <c r="B15" s="80" t="inlineStr">
        <is>
          <t>L1-W08</t>
        </is>
      </c>
      <c r="C15" s="80" t="inlineStr">
        <is>
          <t>window</t>
        </is>
      </c>
      <c r="D15" s="80" t="inlineStr">
        <is>
          <t>window</t>
        </is>
      </c>
      <c r="E15" s="80" t="n">
        <v>1255</v>
      </c>
      <c r="F15" s="80" t="n">
        <v>2075</v>
      </c>
      <c r="G15" s="80" t="n">
        <v>0</v>
      </c>
      <c r="H15" s="123" t="n">
        <v>2.6</v>
      </c>
      <c r="I15" s="80" t="n"/>
      <c r="J15" s="80" t="n"/>
      <c r="K15" s="80" t="inlineStr">
        <is>
          <t>UPVC casement window, 2 lights (2 opening)</t>
        </is>
      </c>
    </row>
    <row r="16">
      <c r="A16" s="80" t="inlineStr">
        <is>
          <t>BL</t>
        </is>
      </c>
      <c r="B16" s="80" t="inlineStr">
        <is>
          <t>BL-D01</t>
        </is>
      </c>
      <c r="C16" s="80" t="inlineStr">
        <is>
          <t>door</t>
        </is>
      </c>
      <c r="D16" s="80" t="inlineStr">
        <is>
          <t>garage door (supplier)</t>
        </is>
      </c>
      <c r="E16" s="80" t="n">
        <v>4555</v>
      </c>
      <c r="F16" s="80" t="n">
        <v>2394</v>
      </c>
      <c r="G16" s="80" t="n">
        <v>-3300</v>
      </c>
      <c r="H16" s="123" t="n">
        <v>10.9</v>
      </c>
      <c r="I16" s="80" t="n"/>
      <c r="J16" s="80" t="n"/>
      <c r="K16" s="80" t="inlineStr">
        <is>
          <t>garage door 4.55 x 2.39 (front elevation head 906 below GF FFL)</t>
        </is>
      </c>
    </row>
    <row r="17">
      <c r="A17" s="80" t="inlineStr">
        <is>
          <t>BL</t>
        </is>
      </c>
      <c r="B17" s="80" t="inlineStr">
        <is>
          <t>BL-W01</t>
        </is>
      </c>
      <c r="C17" s="80" t="inlineStr">
        <is>
          <t>window</t>
        </is>
      </c>
      <c r="D17" s="80" t="inlineStr">
        <is>
          <t>window</t>
        </is>
      </c>
      <c r="E17" s="80" t="n">
        <v>1735</v>
      </c>
      <c r="F17" s="80" t="n">
        <v>897</v>
      </c>
      <c r="G17" s="80" t="n">
        <v>-1236</v>
      </c>
      <c r="H17" s="123" t="n">
        <v>1.56</v>
      </c>
      <c r="I17" s="80" t="n"/>
      <c r="J17" s="80" t="n"/>
      <c r="K17" s="80" t="inlineStr">
        <is>
          <t>UPVC casement window, 3 lights (2 opening)</t>
        </is>
      </c>
    </row>
    <row r="18">
      <c r="A18" s="80" t="inlineStr">
        <is>
          <t>BL</t>
        </is>
      </c>
      <c r="B18" s="80" t="inlineStr">
        <is>
          <t>BL-W02</t>
        </is>
      </c>
      <c r="C18" s="80" t="inlineStr">
        <is>
          <t>window</t>
        </is>
      </c>
      <c r="D18" s="80" t="inlineStr">
        <is>
          <t>window</t>
        </is>
      </c>
      <c r="E18" s="80" t="n">
        <v>1745</v>
      </c>
      <c r="F18" s="80" t="n">
        <v>897</v>
      </c>
      <c r="G18" s="80" t="n">
        <v>-1236</v>
      </c>
      <c r="H18" s="123" t="n">
        <v>1.57</v>
      </c>
      <c r="I18" s="80" t="n"/>
      <c r="J18" s="80" t="n"/>
      <c r="K18" s="80" t="inlineStr">
        <is>
          <t>UPVC casement window, 3 lights (2 opening)</t>
        </is>
      </c>
    </row>
    <row r="19">
      <c r="A19" s="80" t="inlineStr">
        <is>
          <t>BL</t>
        </is>
      </c>
      <c r="B19" s="80" t="inlineStr">
        <is>
          <t>BL-D02</t>
        </is>
      </c>
      <c r="C19" s="80" t="inlineStr">
        <is>
          <t>door</t>
        </is>
      </c>
      <c r="D19" s="80" t="inlineStr">
        <is>
          <t>glazed_door</t>
        </is>
      </c>
      <c r="E19" s="80" t="n">
        <v>1640</v>
      </c>
      <c r="F19" s="80" t="n">
        <v>2030</v>
      </c>
      <c r="G19" s="80" t="n">
        <v>-2680</v>
      </c>
      <c r="H19" s="123" t="n">
        <v>3.33</v>
      </c>
      <c r="I19" s="80" t="n"/>
      <c r="J19" s="80" t="n"/>
      <c r="K19" s="80" t="inlineStr">
        <is>
          <t>Aluminium glazed door + sidelight (PPC, low threshold)</t>
        </is>
      </c>
    </row>
    <row r="20">
      <c r="A20" s="80" t="inlineStr">
        <is>
          <t>L1</t>
        </is>
      </c>
      <c r="B20" s="80" t="inlineStr">
        <is>
          <t>L1-G01</t>
        </is>
      </c>
      <c r="C20" s="80" t="inlineStr">
        <is>
          <t>screen</t>
        </is>
      </c>
      <c r="D20" s="80" t="inlineStr">
        <is>
          <t>raked_screen</t>
        </is>
      </c>
      <c r="E20" s="80" t="n">
        <v>2205</v>
      </c>
      <c r="F20" s="80" t="n">
        <v>2286</v>
      </c>
      <c r="G20" s="80" t="n">
        <v>0</v>
      </c>
      <c r="H20" s="123" t="n">
        <v>7.54</v>
      </c>
      <c r="I20" s="123" t="n">
        <v>6.33</v>
      </c>
      <c r="J20" s="123" t="n">
        <v>6.33</v>
      </c>
      <c r="K20" s="80" t="inlineStr">
        <is>
          <t xml:space="preserve">Raked aluminium feature glazing screen to the Roof L slope (PPC, DGU, </t>
        </is>
      </c>
    </row>
    <row r="21">
      <c r="A21" s="80" t="inlineStr">
        <is>
          <t>L1</t>
        </is>
      </c>
      <c r="B21" s="80" t="inlineStr">
        <is>
          <t>L1-G02</t>
        </is>
      </c>
      <c r="C21" s="80" t="inlineStr">
        <is>
          <t>screen</t>
        </is>
      </c>
      <c r="D21" s="80" t="inlineStr">
        <is>
          <t>double_door</t>
        </is>
      </c>
      <c r="E21" s="80" t="n">
        <v>3445</v>
      </c>
      <c r="F21" s="80" t="n">
        <v>2075</v>
      </c>
      <c r="G21" s="80" t="n">
        <v>0</v>
      </c>
      <c r="H21" s="123" t="n">
        <v>7.15</v>
      </c>
      <c r="I21" s="80" t="n"/>
      <c r="J21" s="80" t="n"/>
      <c r="K21" s="80" t="inlineStr">
        <is>
          <t>Aluminium bi-fold / glazed doors (PPC, low threshold)</t>
        </is>
      </c>
    </row>
    <row r="22">
      <c r="A22" s="80" t="inlineStr">
        <is>
          <t>L1</t>
        </is>
      </c>
      <c r="B22" s="80" t="inlineStr">
        <is>
          <t>L1-G02R</t>
        </is>
      </c>
      <c r="C22" s="80" t="inlineStr">
        <is>
          <t>screen</t>
        </is>
      </c>
      <c r="D22" s="80" t="inlineStr">
        <is>
          <t>raked_screen</t>
        </is>
      </c>
      <c r="E22" s="80" t="n">
        <v>3445</v>
      </c>
      <c r="F22" s="80" t="n">
        <v>3900</v>
      </c>
      <c r="G22" s="80" t="n">
        <v>2075</v>
      </c>
      <c r="H22" s="123" t="n">
        <v>8.720000000000001</v>
      </c>
      <c r="I22" s="123" t="n">
        <v>7.59</v>
      </c>
      <c r="J22" s="123" t="n">
        <v>7.54</v>
      </c>
      <c r="K22" s="80" t="inlineStr">
        <is>
          <t xml:space="preserve">Raked aluminium feature glazing screen to the Roof R gable (PPC, DGU, </t>
        </is>
      </c>
    </row>
    <row r="23">
      <c r="A23" s="80" t="inlineStr">
        <is>
          <t>L1</t>
        </is>
      </c>
      <c r="B23" s="80" t="inlineStr">
        <is>
          <t>L1-G03a</t>
        </is>
      </c>
      <c r="C23" s="80" t="inlineStr">
        <is>
          <t>screen</t>
        </is>
      </c>
      <c r="D23" s="80" t="inlineStr">
        <is>
          <t>raked_screen</t>
        </is>
      </c>
      <c r="E23" s="80" t="n">
        <v>2367</v>
      </c>
      <c r="F23" s="80" t="n">
        <v>2286</v>
      </c>
      <c r="G23" s="80" t="n">
        <v>0</v>
      </c>
      <c r="H23" s="123" t="n">
        <v>7.8</v>
      </c>
      <c r="I23" s="123" t="n">
        <v>6.6</v>
      </c>
      <c r="J23" s="123" t="n">
        <v>6.85</v>
      </c>
      <c r="K23" s="80" t="inlineStr">
        <is>
          <t xml:space="preserve">Raked aluminium feature glazing screen to the Roof R gable (PPC, DGU, </t>
        </is>
      </c>
    </row>
    <row r="24">
      <c r="A24" s="80" t="inlineStr">
        <is>
          <t>L1</t>
        </is>
      </c>
      <c r="B24" s="80" t="inlineStr">
        <is>
          <t>L1-G03b</t>
        </is>
      </c>
      <c r="C24" s="80" t="inlineStr">
        <is>
          <t>screen</t>
        </is>
      </c>
      <c r="D24" s="80" t="inlineStr">
        <is>
          <t>stair_screen</t>
        </is>
      </c>
      <c r="E24" s="80" t="n">
        <v>1330</v>
      </c>
      <c r="F24" s="80" t="n">
        <v>2286</v>
      </c>
      <c r="G24" s="80" t="n">
        <v>0</v>
      </c>
      <c r="H24" s="123" t="n">
        <v>3.04</v>
      </c>
      <c r="I24" s="80" t="n"/>
      <c r="J24" s="80" t="n"/>
      <c r="K24" s="80" t="inlineStr">
        <is>
          <t>Link stair glazed screen (aluminium PPC, mullions &lt;= 1000, insulated s</t>
        </is>
      </c>
    </row>
    <row r="25">
      <c r="A25" s="80" t="inlineStr">
        <is>
          <t>BL</t>
        </is>
      </c>
      <c r="B25" s="80" t="inlineStr">
        <is>
          <t>BL-G04</t>
        </is>
      </c>
      <c r="C25" s="80" t="inlineStr">
        <is>
          <t>screen</t>
        </is>
      </c>
      <c r="D25" s="80" t="inlineStr">
        <is>
          <t>stair_screen</t>
        </is>
      </c>
      <c r="E25" s="80" t="n">
        <v>1040</v>
      </c>
      <c r="F25" s="80" t="n">
        <v>5586</v>
      </c>
      <c r="G25" s="80" t="n">
        <v>0</v>
      </c>
      <c r="H25" s="123" t="n">
        <v>5.81</v>
      </c>
      <c r="I25" s="80" t="n"/>
      <c r="J25" s="80" t="n"/>
      <c r="K25" s="80" t="inlineStr">
        <is>
          <t>Link stair glazed screen (aluminium PPC, mullions &lt;= 1000, insulated s</t>
        </is>
      </c>
    </row>
    <row r="26">
      <c r="A26" s="80" t="inlineStr">
        <is>
          <t>L1</t>
        </is>
      </c>
      <c r="B26" s="80" t="inlineStr">
        <is>
          <t>L1-G05</t>
        </is>
      </c>
      <c r="C26" s="80" t="inlineStr">
        <is>
          <t>screen</t>
        </is>
      </c>
      <c r="D26" s="80" t="inlineStr">
        <is>
          <t>raked_screen</t>
        </is>
      </c>
      <c r="E26" s="80" t="n">
        <v>2197</v>
      </c>
      <c r="F26" s="80" t="n">
        <v>3246</v>
      </c>
      <c r="G26" s="80" t="n">
        <v>-960</v>
      </c>
      <c r="H26" s="123" t="n">
        <v>9.609999999999999</v>
      </c>
      <c r="I26" s="123" t="n">
        <v>8.17</v>
      </c>
      <c r="J26" s="123" t="n">
        <v>8.17</v>
      </c>
      <c r="K26" s="80" t="inlineStr">
        <is>
          <t xml:space="preserve">Raked aluminium feature glazing screen to the Roof L slope (PPC, DGU, </t>
        </is>
      </c>
    </row>
    <row r="28">
      <c r="A28" s="124" t="inlineStr">
        <is>
          <t>Raked screens: H = the ICF gap / screen height at the jamb; the gross area follows the raked head. The fbw_fit glass_m2 under-reports by ~half (see the notes).</t>
        </is>
      </c>
    </row>
  </sheetData>
  <sheetProtection selectLockedCells="0" selectUnlockedCells="0" sheet="1" objects="0" insertRows="1" insertHyperlinks="1" autoFilter="1" scenarios="0" formatColumns="0" deleteColumns="1" insertColumns="1" pivotTables="1" deleteRows="1" formatCells="1" formatRows="0" sort="1"/>
  <mergeCells count="3">
    <mergeCell ref="C2:K2"/>
    <mergeCell ref="C1:K1"/>
    <mergeCell ref="A4:K4"/>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4.xml><?xml version="1.0" encoding="utf-8"?>
<worksheet xmlns="http://schemas.openxmlformats.org/spreadsheetml/2006/main">
  <sheetPr>
    <outlinePr summaryBelow="1" summaryRight="1"/>
    <pageSetUpPr fitToPage="1"/>
  </sheetPr>
  <dimension ref="A1:I13"/>
  <sheetViews>
    <sheetView showGridLines="0" workbookViewId="0">
      <pane ySplit="6" topLeftCell="A7" activePane="bottomLeft" state="frozen"/>
      <selection pane="bottomLef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2" customWidth="1" min="6" max="6"/>
    <col width="10" customWidth="1" min="7" max="7"/>
    <col width="12" customWidth="1" min="8" max="8"/>
    <col width="13" customWidth="1" min="9" max="9"/>
  </cols>
  <sheetData>
    <row r="1" ht="22" customHeight="1">
      <c r="C1" s="70" t="inlineStr">
        <is>
          <t>Schedule C - Key Quantities per Level</t>
        </is>
      </c>
    </row>
    <row r="2" ht="18" customHeight="1">
      <c r="C2" s="71" t="inlineStr">
        <is>
          <t>Reference only - the bills carry the priced quantities. Not priced.</t>
        </is>
      </c>
    </row>
    <row r="3" ht="4" customHeight="1">
      <c r="A3" s="72" t="n"/>
      <c r="B3" s="72" t="n"/>
      <c r="C3" s="72" t="n"/>
      <c r="D3" s="72" t="n"/>
      <c r="E3" s="72" t="n"/>
      <c r="F3" s="72" t="n"/>
      <c r="G3" s="72" t="n"/>
      <c r="H3" s="72" t="n"/>
      <c r="I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Level</t>
        </is>
      </c>
      <c r="B6" s="79" t="inlineStr">
        <is>
          <t>ICF outer face m2</t>
        </is>
      </c>
      <c r="C6" s="79" t="inlineStr">
        <is>
          <t>ICF inner face m2</t>
        </is>
      </c>
      <c r="D6" s="79" t="inlineStr">
        <is>
          <t>External finish m2</t>
        </is>
      </c>
      <c r="E6" s="79" t="inlineStr">
        <is>
          <t>Wall linings m2</t>
        </is>
      </c>
      <c r="F6" s="79" t="inlineStr">
        <is>
          <t>Ceilings m2</t>
        </is>
      </c>
      <c r="G6" s="79" t="inlineStr">
        <is>
          <t>Doors nr</t>
        </is>
      </c>
      <c r="H6" s="79" t="inlineStr">
        <is>
          <t>Skirting m</t>
        </is>
      </c>
      <c r="I6" s="79" t="inlineStr">
        <is>
          <t>Partitions m2</t>
        </is>
      </c>
    </row>
    <row r="7">
      <c r="A7" s="80" t="inlineStr">
        <is>
          <t>P</t>
        </is>
      </c>
      <c r="B7" s="123" t="n">
        <v>42</v>
      </c>
      <c r="C7" s="123" t="n">
        <v>37.84</v>
      </c>
      <c r="D7" s="123" t="n">
        <v>0</v>
      </c>
      <c r="E7" s="123" t="n">
        <v>0</v>
      </c>
      <c r="F7" s="123" t="n">
        <v>0</v>
      </c>
      <c r="G7" s="80" t="n">
        <v>0</v>
      </c>
      <c r="H7" s="123" t="n">
        <v>0</v>
      </c>
      <c r="I7" s="123" t="n">
        <v>0</v>
      </c>
    </row>
    <row r="8">
      <c r="A8" s="80" t="inlineStr">
        <is>
          <t>BL</t>
        </is>
      </c>
      <c r="B8" s="123" t="n">
        <v>209.01</v>
      </c>
      <c r="C8" s="123" t="n">
        <v>195.51</v>
      </c>
      <c r="D8" s="123" t="n">
        <v>72.76000000000001</v>
      </c>
      <c r="E8" s="123" t="n">
        <v>292.08</v>
      </c>
      <c r="F8" s="123" t="n">
        <v>136.59</v>
      </c>
      <c r="G8" s="80" t="n">
        <v>6</v>
      </c>
      <c r="H8" s="123" t="n">
        <v>68.92</v>
      </c>
      <c r="I8" s="123" t="n">
        <v>93.3</v>
      </c>
    </row>
    <row r="9">
      <c r="A9" s="80" t="inlineStr">
        <is>
          <t>FB</t>
        </is>
      </c>
      <c r="B9" s="123" t="n">
        <v>13.53</v>
      </c>
      <c r="C9" s="123" t="n">
        <v>12.23</v>
      </c>
      <c r="D9" s="123" t="n">
        <v>4.61</v>
      </c>
      <c r="E9" s="123" t="n">
        <v>0</v>
      </c>
      <c r="F9" s="123" t="n">
        <v>0</v>
      </c>
      <c r="G9" s="80" t="n">
        <v>0</v>
      </c>
      <c r="H9" s="123" t="n">
        <v>0</v>
      </c>
      <c r="I9" s="123" t="n">
        <v>0</v>
      </c>
    </row>
    <row r="10">
      <c r="A10" s="80" t="inlineStr">
        <is>
          <t>L1</t>
        </is>
      </c>
      <c r="B10" s="123" t="n">
        <v>165.91</v>
      </c>
      <c r="C10" s="123" t="n">
        <v>157.92</v>
      </c>
      <c r="D10" s="123" t="n">
        <v>161.98</v>
      </c>
      <c r="E10" s="123" t="n">
        <v>558.59</v>
      </c>
      <c r="F10" s="123" t="n">
        <v>282.55</v>
      </c>
      <c r="G10" s="80" t="n">
        <v>7</v>
      </c>
      <c r="H10" s="123" t="n">
        <v>119.62</v>
      </c>
      <c r="I10" s="123" t="n">
        <v>200.93</v>
      </c>
    </row>
    <row r="11">
      <c r="A11" s="125" t="inlineStr">
        <is>
          <t>Total</t>
        </is>
      </c>
      <c r="B11" s="126">
        <f>SUM(B7:B10)</f>
        <v/>
      </c>
      <c r="C11" s="126">
        <f>SUM(C7:C10)</f>
        <v/>
      </c>
      <c r="D11" s="126">
        <f>SUM(D7:D10)</f>
        <v/>
      </c>
      <c r="E11" s="126">
        <f>SUM(E7:E10)</f>
        <v/>
      </c>
      <c r="F11" s="126">
        <f>SUM(F7:F10)</f>
        <v/>
      </c>
      <c r="G11" s="126">
        <f>SUM(G7:G10)</f>
        <v/>
      </c>
      <c r="H11" s="126">
        <f>SUM(H7:H10)</f>
        <v/>
      </c>
      <c r="I11" s="126">
        <f>SUM(I7:I10)</f>
        <v/>
      </c>
    </row>
    <row r="13">
      <c r="A13" s="124" t="inlineStr">
        <is>
          <t>ICF faces from the Report Tool component export (588 forms). Ceilings: basement rooms + garage; GF vaulted on the slope.</t>
        </is>
      </c>
    </row>
  </sheetData>
  <sheetProtection selectLockedCells="0" selectUnlockedCells="0" sheet="1" objects="0" insertRows="1" insertHyperlinks="1" autoFilter="1" scenarios="0" formatColumns="0" deleteColumns="1" insertColumns="1" pivotTables="1" deleteRows="1" formatCells="1" formatRows="0" sort="1"/>
  <mergeCells count="3">
    <mergeCell ref="C1:I1"/>
    <mergeCell ref="A4:I4"/>
    <mergeCell ref="C2:I2"/>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1:K36"/>
  <sheetViews>
    <sheetView showGridLines="0" workbookViewId="0">
      <pane ySplit="6" topLeftCell="A7"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9" customWidth="1" min="5" max="5"/>
    <col width="15" customWidth="1" min="6" max="6"/>
    <col width="7" customWidth="1" min="7" max="7"/>
    <col width="9" customWidth="1" min="8" max="8"/>
    <col width="18" customWidth="1" min="9" max="9"/>
    <col width="9" customWidth="1" min="10" max="10"/>
    <col width="10" customWidth="1" min="11" max="11"/>
  </cols>
  <sheetData>
    <row r="1" ht="22" customHeight="1">
      <c r="C1" s="70" t="inlineStr">
        <is>
          <t>Schedule D - TLSTF Partition Schedule (as built in the model)</t>
        </is>
      </c>
    </row>
    <row r="2" ht="18" customHeight="1">
      <c r="C2" s="71" t="inlineStr">
        <is>
          <t>From the TLSTF walls / verify / doors / rake / head-restraint / pattress reports (04_Logs/build). Not priced.</t>
        </is>
      </c>
    </row>
    <row r="3" ht="4" customHeight="1">
      <c r="A3" s="72" t="n"/>
      <c r="B3" s="72" t="n"/>
      <c r="C3" s="72" t="n"/>
      <c r="D3" s="72" t="n"/>
      <c r="E3" s="72" t="n"/>
      <c r="F3" s="72" t="n"/>
      <c r="G3" s="72" t="n"/>
      <c r="H3" s="72" t="n"/>
      <c r="I3" s="72" t="n"/>
      <c r="J3" s="72" t="n"/>
      <c r="K3" s="72" t="n"/>
    </row>
    <row r="4" ht="66" customHeight="1">
      <c r="A4" s="73" t="inlineStr">
        <is>
          <t>DISCLAIMER: This information is supplied in good faith for guidance and coordination only. It is not part of the Nudura ICF price and must be checked and verified by the appropriate professional (quantity surveyor, designer, engineer or supplier) before use. Only the Nudura ICF formwork and associated accessories are included in our price. Quantities are measured from the BuildEase quotation model of the Foote McBride planning drawings (C2523 PP 01 001-008, raster, no sections / dimensions / levels - heights scaled from the elevations); no allowance for waste is included unless stated. Quantity columns are the model levels P / BL / FB / L1; the Site total is their sum. Rates and amounts are by others.</t>
        </is>
      </c>
    </row>
    <row r="6" ht="30" customHeight="1">
      <c r="A6" s="79" t="inlineStr">
        <is>
          <t>Floor</t>
        </is>
      </c>
      <c r="B6" s="79" t="inlineStr">
        <is>
          <t>Wall</t>
        </is>
      </c>
      <c r="C6" s="79" t="inlineStr">
        <is>
          <t>Length mm</t>
        </is>
      </c>
      <c r="D6" s="79" t="inlineStr">
        <is>
          <t>Height mm</t>
        </is>
      </c>
      <c r="E6" s="79" t="inlineStr">
        <is>
          <t>Area m2</t>
        </is>
      </c>
      <c r="F6" s="79" t="inlineStr">
        <is>
          <t>Build-up</t>
        </is>
      </c>
      <c r="G6" s="79" t="inlineStr">
        <is>
          <t>Studs</t>
        </is>
      </c>
      <c r="H6" s="79" t="inlineStr">
        <is>
          <t>Members</t>
        </is>
      </c>
      <c r="I6" s="79" t="inlineStr">
        <is>
          <t>Door openings (mm)</t>
        </is>
      </c>
      <c r="J6" s="79" t="inlineStr">
        <is>
          <t>Head clips</t>
        </is>
      </c>
      <c r="K6" s="79" t="inlineStr">
        <is>
          <t>Pattress pcs</t>
        </is>
      </c>
    </row>
    <row r="7">
      <c r="A7" s="80" t="inlineStr">
        <is>
          <t>BF</t>
        </is>
      </c>
      <c r="B7" s="80" t="inlineStr">
        <is>
          <t>BF-P01</t>
        </is>
      </c>
      <c r="C7" s="80" t="n">
        <v>4469</v>
      </c>
      <c r="D7" s="80" t="inlineStr">
        <is>
          <t>2,975</t>
        </is>
      </c>
      <c r="E7" s="123" t="n">
        <v>13.3</v>
      </c>
      <c r="F7" s="80" t="inlineStr">
        <is>
          <t>kb_int_89_600</t>
        </is>
      </c>
      <c r="G7" s="80" t="n">
        <v>9</v>
      </c>
      <c r="H7" s="80" t="n">
        <v>44</v>
      </c>
      <c r="I7" s="80" t="inlineStr">
        <is>
          <t>830</t>
        </is>
      </c>
      <c r="J7" s="80" t="n">
        <v>18</v>
      </c>
      <c r="K7" s="80" t="inlineStr"/>
    </row>
    <row r="8">
      <c r="A8" s="80" t="inlineStr">
        <is>
          <t>BF</t>
        </is>
      </c>
      <c r="B8" s="80" t="inlineStr">
        <is>
          <t>BF-P02</t>
        </is>
      </c>
      <c r="C8" s="80" t="n">
        <v>2489</v>
      </c>
      <c r="D8" s="80" t="inlineStr">
        <is>
          <t>2,975</t>
        </is>
      </c>
      <c r="E8" s="123" t="n">
        <v>7.4</v>
      </c>
      <c r="F8" s="80" t="inlineStr">
        <is>
          <t>kb_int_89_600</t>
        </is>
      </c>
      <c r="G8" s="80" t="n">
        <v>7</v>
      </c>
      <c r="H8" s="80" t="n">
        <v>30</v>
      </c>
      <c r="I8" s="80" t="inlineStr"/>
      <c r="J8" s="80" t="n">
        <v>12</v>
      </c>
      <c r="K8" s="80" t="inlineStr"/>
    </row>
    <row r="9">
      <c r="A9" s="80" t="inlineStr">
        <is>
          <t>BF</t>
        </is>
      </c>
      <c r="B9" s="80" t="inlineStr">
        <is>
          <t>BF-P03</t>
        </is>
      </c>
      <c r="C9" s="80" t="n">
        <v>6390</v>
      </c>
      <c r="D9" s="80" t="inlineStr">
        <is>
          <t>2,975</t>
        </is>
      </c>
      <c r="E9" s="123" t="n">
        <v>19.01</v>
      </c>
      <c r="F9" s="80" t="inlineStr">
        <is>
          <t>kb_int_89_600</t>
        </is>
      </c>
      <c r="G9" s="80" t="n">
        <v>14</v>
      </c>
      <c r="H9" s="80" t="n">
        <v>54</v>
      </c>
      <c r="I9" s="80" t="inlineStr"/>
      <c r="J9" s="80" t="n">
        <v>24</v>
      </c>
      <c r="K9" s="80" t="inlineStr"/>
    </row>
    <row r="10">
      <c r="A10" s="80" t="inlineStr">
        <is>
          <t>BF</t>
        </is>
      </c>
      <c r="B10" s="80" t="inlineStr">
        <is>
          <t>BF-P04</t>
        </is>
      </c>
      <c r="C10" s="80" t="n">
        <v>7096</v>
      </c>
      <c r="D10" s="80" t="inlineStr">
        <is>
          <t>2,975</t>
        </is>
      </c>
      <c r="E10" s="123" t="n">
        <v>21.11</v>
      </c>
      <c r="F10" s="80" t="inlineStr">
        <is>
          <t>kb_int_89_400</t>
        </is>
      </c>
      <c r="G10" s="80" t="n">
        <v>19</v>
      </c>
      <c r="H10" s="80" t="n">
        <v>86</v>
      </c>
      <c r="I10" s="80" t="inlineStr">
        <is>
          <t>800, 850</t>
        </is>
      </c>
      <c r="J10" s="80" t="n">
        <v>26</v>
      </c>
      <c r="K10" s="80" t="n">
        <v>16</v>
      </c>
    </row>
    <row r="11">
      <c r="A11" s="80" t="inlineStr">
        <is>
          <t>BF</t>
        </is>
      </c>
      <c r="B11" s="80" t="inlineStr">
        <is>
          <t>BF-P05</t>
        </is>
      </c>
      <c r="C11" s="80" t="n">
        <v>3022</v>
      </c>
      <c r="D11" s="80" t="inlineStr">
        <is>
          <t>2,975</t>
        </is>
      </c>
      <c r="E11" s="123" t="n">
        <v>8.99</v>
      </c>
      <c r="F11" s="80" t="inlineStr">
        <is>
          <t>kb_int_89_600</t>
        </is>
      </c>
      <c r="G11" s="80" t="n">
        <v>7</v>
      </c>
      <c r="H11" s="80" t="n">
        <v>30</v>
      </c>
      <c r="I11" s="80" t="inlineStr"/>
      <c r="J11" s="80" t="n">
        <v>12</v>
      </c>
      <c r="K11" s="80" t="inlineStr"/>
    </row>
    <row r="12">
      <c r="A12" s="80" t="inlineStr">
        <is>
          <t>BF</t>
        </is>
      </c>
      <c r="B12" s="80" t="inlineStr">
        <is>
          <t>BF-P06</t>
        </is>
      </c>
      <c r="C12" s="80" t="n">
        <v>2736</v>
      </c>
      <c r="D12" s="80" t="inlineStr">
        <is>
          <t>2,975</t>
        </is>
      </c>
      <c r="E12" s="123" t="n">
        <v>8.140000000000001</v>
      </c>
      <c r="F12" s="80" t="inlineStr">
        <is>
          <t>kb_int_89_600</t>
        </is>
      </c>
      <c r="G12" s="80" t="n">
        <v>6</v>
      </c>
      <c r="H12" s="80" t="n">
        <v>32</v>
      </c>
      <c r="I12" s="80" t="inlineStr">
        <is>
          <t>850</t>
        </is>
      </c>
      <c r="J12" s="80" t="n">
        <v>10</v>
      </c>
      <c r="K12" s="80" t="inlineStr"/>
    </row>
    <row r="13">
      <c r="A13" s="80" t="inlineStr">
        <is>
          <t>BF</t>
        </is>
      </c>
      <c r="B13" s="80" t="inlineStr">
        <is>
          <t>BF-P07</t>
        </is>
      </c>
      <c r="C13" s="80" t="n">
        <v>4123</v>
      </c>
      <c r="D13" s="80" t="inlineStr">
        <is>
          <t>2,975</t>
        </is>
      </c>
      <c r="E13" s="123" t="n">
        <v>12.27</v>
      </c>
      <c r="F13" s="80" t="inlineStr">
        <is>
          <t>kb_int_89_400</t>
        </is>
      </c>
      <c r="G13" s="80" t="n">
        <v>13</v>
      </c>
      <c r="H13" s="80" t="n">
        <v>61</v>
      </c>
      <c r="I13" s="80" t="inlineStr">
        <is>
          <t>846</t>
        </is>
      </c>
      <c r="J13" s="80" t="n">
        <v>16</v>
      </c>
      <c r="K13" s="80" t="n">
        <v>18</v>
      </c>
    </row>
    <row r="14">
      <c r="A14" s="80" t="inlineStr">
        <is>
          <t>BF</t>
        </is>
      </c>
      <c r="B14" s="80" t="inlineStr">
        <is>
          <t>BF-P08</t>
        </is>
      </c>
      <c r="C14" s="80" t="n">
        <v>1037</v>
      </c>
      <c r="D14" s="80" t="inlineStr">
        <is>
          <t>2,975</t>
        </is>
      </c>
      <c r="E14" s="123" t="n">
        <v>3.08</v>
      </c>
      <c r="F14" s="80" t="inlineStr">
        <is>
          <t>kb_int_89_600</t>
        </is>
      </c>
      <c r="G14" s="80" t="n">
        <v>2</v>
      </c>
      <c r="H14" s="80" t="n">
        <v>11</v>
      </c>
      <c r="I14" s="80" t="inlineStr">
        <is>
          <t>850</t>
        </is>
      </c>
      <c r="J14" s="80" t="n">
        <v>4</v>
      </c>
      <c r="K14" s="80" t="inlineStr"/>
    </row>
    <row r="15">
      <c r="A15" s="80" t="inlineStr">
        <is>
          <t>GF</t>
        </is>
      </c>
      <c r="B15" s="80" t="inlineStr">
        <is>
          <t>GF-P01</t>
        </is>
      </c>
      <c r="C15" s="80" t="n">
        <v>3270</v>
      </c>
      <c r="D15" s="80" t="inlineStr">
        <is>
          <t>2,439-5,709</t>
        </is>
      </c>
      <c r="E15" s="123" t="n">
        <v>13.32</v>
      </c>
      <c r="F15" s="80" t="inlineStr">
        <is>
          <t>kb_int_89_600</t>
        </is>
      </c>
      <c r="G15" s="80" t="n">
        <v>7</v>
      </c>
      <c r="H15" s="80" t="n">
        <v>42</v>
      </c>
      <c r="I15" s="80" t="inlineStr">
        <is>
          <t>855</t>
        </is>
      </c>
      <c r="J15" s="80" t="inlineStr"/>
      <c r="K15" s="80" t="inlineStr"/>
    </row>
    <row r="16">
      <c r="A16" s="80" t="inlineStr">
        <is>
          <t>GF</t>
        </is>
      </c>
      <c r="B16" s="80" t="inlineStr">
        <is>
          <t>GF-P02</t>
        </is>
      </c>
      <c r="C16" s="80" t="n">
        <v>2270</v>
      </c>
      <c r="D16" s="80" t="inlineStr">
        <is>
          <t>5,672-5,865</t>
        </is>
      </c>
      <c r="E16" s="123" t="n">
        <v>13.1</v>
      </c>
      <c r="F16" s="80" t="inlineStr">
        <is>
          <t>kb_int_89_600</t>
        </is>
      </c>
      <c r="G16" s="80" t="n">
        <v>6</v>
      </c>
      <c r="H16" s="80" t="n">
        <v>25</v>
      </c>
      <c r="I16" s="80" t="inlineStr"/>
      <c r="J16" s="80" t="inlineStr"/>
      <c r="K16" s="80" t="inlineStr"/>
    </row>
    <row r="17">
      <c r="A17" s="80" t="inlineStr">
        <is>
          <t>GF</t>
        </is>
      </c>
      <c r="B17" s="80" t="inlineStr">
        <is>
          <t>GF-P03</t>
        </is>
      </c>
      <c r="C17" s="80" t="n">
        <v>1365</v>
      </c>
      <c r="D17" s="80" t="inlineStr">
        <is>
          <t>2,439-3,804</t>
        </is>
      </c>
      <c r="E17" s="123" t="n">
        <v>4.26</v>
      </c>
      <c r="F17" s="80" t="inlineStr">
        <is>
          <t>kb_int_89_400</t>
        </is>
      </c>
      <c r="G17" s="80" t="n">
        <v>5</v>
      </c>
      <c r="H17" s="80" t="n">
        <v>23</v>
      </c>
      <c r="I17" s="80" t="inlineStr"/>
      <c r="J17" s="80" t="inlineStr"/>
      <c r="K17" s="80" t="n">
        <v>8</v>
      </c>
    </row>
    <row r="18">
      <c r="A18" s="80" t="inlineStr">
        <is>
          <t>GF</t>
        </is>
      </c>
      <c r="B18" s="80" t="inlineStr">
        <is>
          <t>GF-P04</t>
        </is>
      </c>
      <c r="C18" s="80" t="n">
        <v>854</v>
      </c>
      <c r="D18" s="80" t="inlineStr">
        <is>
          <t>3,759-3,759</t>
        </is>
      </c>
      <c r="E18" s="123" t="n">
        <v>3.21</v>
      </c>
      <c r="F18" s="80" t="inlineStr">
        <is>
          <t>kb_int_89_600</t>
        </is>
      </c>
      <c r="G18" s="80" t="n">
        <v>4</v>
      </c>
      <c r="H18" s="80" t="n">
        <v>18</v>
      </c>
      <c r="I18" s="80" t="inlineStr"/>
      <c r="J18" s="80" t="inlineStr"/>
      <c r="K18" s="80" t="inlineStr"/>
    </row>
    <row r="19">
      <c r="A19" s="80" t="inlineStr">
        <is>
          <t>GF</t>
        </is>
      </c>
      <c r="B19" s="80" t="inlineStr">
        <is>
          <t>GF-P05</t>
        </is>
      </c>
      <c r="C19" s="80" t="n">
        <v>972</v>
      </c>
      <c r="D19" s="80" t="inlineStr">
        <is>
          <t>4,750-4,750</t>
        </is>
      </c>
      <c r="E19" s="123" t="n">
        <v>4.61</v>
      </c>
      <c r="F19" s="80" t="inlineStr">
        <is>
          <t>kb_int_89_600</t>
        </is>
      </c>
      <c r="G19" s="80" t="n">
        <v>3</v>
      </c>
      <c r="H19" s="80" t="n">
        <v>13</v>
      </c>
      <c r="I19" s="80" t="inlineStr"/>
      <c r="J19" s="80" t="inlineStr"/>
      <c r="K19" s="80" t="inlineStr"/>
    </row>
    <row r="20">
      <c r="A20" s="80" t="inlineStr">
        <is>
          <t>GF</t>
        </is>
      </c>
      <c r="B20" s="80" t="inlineStr">
        <is>
          <t>GF-P06</t>
        </is>
      </c>
      <c r="C20" s="80" t="n">
        <v>898</v>
      </c>
      <c r="D20" s="80" t="inlineStr">
        <is>
          <t>4,706-5,604</t>
        </is>
      </c>
      <c r="E20" s="123" t="n">
        <v>4.63</v>
      </c>
      <c r="F20" s="80" t="inlineStr">
        <is>
          <t>kb_int_89_600</t>
        </is>
      </c>
      <c r="G20" s="80" t="n">
        <v>4</v>
      </c>
      <c r="H20" s="80" t="n">
        <v>18</v>
      </c>
      <c r="I20" s="80" t="inlineStr"/>
      <c r="J20" s="80" t="inlineStr"/>
      <c r="K20" s="80" t="inlineStr"/>
    </row>
    <row r="21">
      <c r="A21" s="80" t="inlineStr">
        <is>
          <t>GF</t>
        </is>
      </c>
      <c r="B21" s="80" t="inlineStr">
        <is>
          <t>GF-P07</t>
        </is>
      </c>
      <c r="C21" s="80" t="n">
        <v>3510</v>
      </c>
      <c r="D21" s="80" t="inlineStr">
        <is>
          <t>5,648-5,648</t>
        </is>
      </c>
      <c r="E21" s="123" t="n">
        <v>19.83</v>
      </c>
      <c r="F21" s="80" t="inlineStr">
        <is>
          <t>kb_int_89_400</t>
        </is>
      </c>
      <c r="G21" s="80" t="n">
        <v>12</v>
      </c>
      <c r="H21" s="80" t="n">
        <v>64</v>
      </c>
      <c r="I21" s="80" t="inlineStr"/>
      <c r="J21" s="80" t="inlineStr"/>
      <c r="K21" s="80" t="n">
        <v>16</v>
      </c>
    </row>
    <row r="22">
      <c r="A22" s="80" t="inlineStr">
        <is>
          <t>GF</t>
        </is>
      </c>
      <c r="B22" s="80" t="inlineStr">
        <is>
          <t>GF-P08</t>
        </is>
      </c>
      <c r="C22" s="80" t="n">
        <v>1409</v>
      </c>
      <c r="D22" s="80" t="inlineStr">
        <is>
          <t>4,717-5,865</t>
        </is>
      </c>
      <c r="E22" s="123" t="n">
        <v>7.57</v>
      </c>
      <c r="F22" s="80" t="inlineStr">
        <is>
          <t>kb_int_89_600</t>
        </is>
      </c>
      <c r="G22" s="80" t="n">
        <v>6</v>
      </c>
      <c r="H22" s="80" t="n">
        <v>28</v>
      </c>
      <c r="I22" s="80" t="inlineStr"/>
      <c r="J22" s="80" t="inlineStr"/>
      <c r="K22" s="80" t="inlineStr"/>
    </row>
    <row r="23">
      <c r="A23" s="80" t="inlineStr">
        <is>
          <t>GF</t>
        </is>
      </c>
      <c r="B23" s="80" t="inlineStr">
        <is>
          <t>GF-P09</t>
        </is>
      </c>
      <c r="C23" s="80" t="n">
        <v>1231</v>
      </c>
      <c r="D23" s="80" t="inlineStr">
        <is>
          <t>4,806-5,865</t>
        </is>
      </c>
      <c r="E23" s="123" t="n">
        <v>6.64</v>
      </c>
      <c r="F23" s="80" t="inlineStr">
        <is>
          <t>kb_int_89_400</t>
        </is>
      </c>
      <c r="G23" s="80" t="n">
        <v>7</v>
      </c>
      <c r="H23" s="80" t="n">
        <v>30</v>
      </c>
      <c r="I23" s="80" t="inlineStr"/>
      <c r="J23" s="80" t="inlineStr"/>
      <c r="K23" s="80" t="n">
        <v>10</v>
      </c>
    </row>
    <row r="24">
      <c r="A24" s="80" t="inlineStr">
        <is>
          <t>GF</t>
        </is>
      </c>
      <c r="B24" s="80" t="inlineStr">
        <is>
          <t>GF-P10</t>
        </is>
      </c>
      <c r="C24" s="80" t="n">
        <v>6938</v>
      </c>
      <c r="D24" s="80" t="inlineStr">
        <is>
          <t>4,762-4,762</t>
        </is>
      </c>
      <c r="E24" s="123" t="n">
        <v>33.04</v>
      </c>
      <c r="F24" s="80" t="inlineStr">
        <is>
          <t>kb_int_89_400</t>
        </is>
      </c>
      <c r="G24" s="80" t="n">
        <v>22</v>
      </c>
      <c r="H24" s="80" t="n">
        <v>131</v>
      </c>
      <c r="I24" s="80" t="inlineStr">
        <is>
          <t>850, 850</t>
        </is>
      </c>
      <c r="J24" s="80" t="inlineStr"/>
      <c r="K24" s="80" t="n">
        <v>10</v>
      </c>
    </row>
    <row r="25">
      <c r="A25" s="80" t="inlineStr">
        <is>
          <t>GF</t>
        </is>
      </c>
      <c r="B25" s="80" t="inlineStr">
        <is>
          <t>GF-P11</t>
        </is>
      </c>
      <c r="C25" s="80" t="n">
        <v>2928</v>
      </c>
      <c r="D25" s="80" t="inlineStr">
        <is>
          <t>4,762-4,762</t>
        </is>
      </c>
      <c r="E25" s="123" t="n">
        <v>13.94</v>
      </c>
      <c r="F25" s="80" t="inlineStr">
        <is>
          <t>kb_int_89_600</t>
        </is>
      </c>
      <c r="G25" s="80" t="n">
        <v>6</v>
      </c>
      <c r="H25" s="80" t="n">
        <v>28</v>
      </c>
      <c r="I25" s="80" t="inlineStr"/>
      <c r="J25" s="80" t="inlineStr"/>
      <c r="K25" s="80" t="inlineStr"/>
    </row>
    <row r="26">
      <c r="A26" s="80" t="inlineStr">
        <is>
          <t>GF</t>
        </is>
      </c>
      <c r="B26" s="80" t="inlineStr">
        <is>
          <t>GF-P12</t>
        </is>
      </c>
      <c r="C26" s="80" t="n">
        <v>4485</v>
      </c>
      <c r="D26" s="80" t="inlineStr">
        <is>
          <t>2,439-5,865</t>
        </is>
      </c>
      <c r="E26" s="123" t="n">
        <v>19.87</v>
      </c>
      <c r="F26" s="80" t="inlineStr">
        <is>
          <t>kb_int_89_400</t>
        </is>
      </c>
      <c r="G26" s="80" t="n">
        <v>16</v>
      </c>
      <c r="H26" s="80" t="n">
        <v>81</v>
      </c>
      <c r="I26" s="80" t="inlineStr"/>
      <c r="J26" s="80" t="inlineStr"/>
      <c r="K26" s="80" t="n">
        <v>18</v>
      </c>
    </row>
    <row r="27">
      <c r="A27" s="80" t="inlineStr">
        <is>
          <t>GF</t>
        </is>
      </c>
      <c r="B27" s="80" t="inlineStr">
        <is>
          <t>GF-P13</t>
        </is>
      </c>
      <c r="C27" s="80" t="n">
        <v>334</v>
      </c>
      <c r="D27" s="80" t="inlineStr">
        <is>
          <t>5,472-5,472</t>
        </is>
      </c>
      <c r="E27" s="123" t="n">
        <v>1.83</v>
      </c>
      <c r="F27" s="80" t="inlineStr">
        <is>
          <t>kb_int_89_600</t>
        </is>
      </c>
      <c r="G27" s="80" t="n">
        <v>3</v>
      </c>
      <c r="H27" s="80" t="n">
        <v>13</v>
      </c>
      <c r="I27" s="80" t="inlineStr"/>
      <c r="J27" s="80" t="inlineStr"/>
      <c r="K27" s="80" t="inlineStr"/>
    </row>
    <row r="28">
      <c r="A28" s="80" t="inlineStr">
        <is>
          <t>GF</t>
        </is>
      </c>
      <c r="B28" s="80" t="inlineStr">
        <is>
          <t>GF-P14</t>
        </is>
      </c>
      <c r="C28" s="80" t="n">
        <v>378</v>
      </c>
      <c r="D28" s="80" t="inlineStr">
        <is>
          <t>5,472-5,472</t>
        </is>
      </c>
      <c r="E28" s="123" t="n">
        <v>2.07</v>
      </c>
      <c r="F28" s="80" t="inlineStr">
        <is>
          <t>kb_int_89_600</t>
        </is>
      </c>
      <c r="G28" s="80" t="n">
        <v>3</v>
      </c>
      <c r="H28" s="80" t="n">
        <v>13</v>
      </c>
      <c r="I28" s="80" t="inlineStr"/>
      <c r="J28" s="80" t="inlineStr"/>
      <c r="K28" s="80" t="inlineStr"/>
    </row>
    <row r="29">
      <c r="A29" s="80" t="inlineStr">
        <is>
          <t>GF</t>
        </is>
      </c>
      <c r="B29" s="80" t="inlineStr">
        <is>
          <t>GF-P15</t>
        </is>
      </c>
      <c r="C29" s="80" t="n">
        <v>711</v>
      </c>
      <c r="D29" s="80" t="inlineStr">
        <is>
          <t>4,806-5,517</t>
        </is>
      </c>
      <c r="E29" s="123" t="n">
        <v>3.67</v>
      </c>
      <c r="F29" s="80" t="inlineStr">
        <is>
          <t>kb_int_89_600</t>
        </is>
      </c>
      <c r="G29" s="80" t="n">
        <v>3</v>
      </c>
      <c r="H29" s="80" t="n">
        <v>13</v>
      </c>
      <c r="I29" s="80" t="inlineStr"/>
      <c r="J29" s="80" t="inlineStr"/>
      <c r="K29" s="80" t="inlineStr"/>
    </row>
    <row r="30">
      <c r="A30" s="80" t="inlineStr">
        <is>
          <t>GF</t>
        </is>
      </c>
      <c r="B30" s="80" t="inlineStr">
        <is>
          <t>GF-P16</t>
        </is>
      </c>
      <c r="C30" s="80" t="n">
        <v>4574</v>
      </c>
      <c r="D30" s="80" t="inlineStr">
        <is>
          <t>2,439-5,865</t>
        </is>
      </c>
      <c r="E30" s="123" t="n">
        <v>20.3</v>
      </c>
      <c r="F30" s="80" t="inlineStr">
        <is>
          <t>kb_int_89_400</t>
        </is>
      </c>
      <c r="G30" s="80" t="n">
        <v>12</v>
      </c>
      <c r="H30" s="80" t="n">
        <v>92</v>
      </c>
      <c r="I30" s="80" t="inlineStr">
        <is>
          <t>680, 680, 762</t>
        </is>
      </c>
      <c r="J30" s="80" t="inlineStr"/>
      <c r="K30" s="80" t="n">
        <v>6</v>
      </c>
    </row>
    <row r="31">
      <c r="A31" s="80" t="inlineStr">
        <is>
          <t>GF</t>
        </is>
      </c>
      <c r="B31" s="80" t="inlineStr">
        <is>
          <t>GF-P17</t>
        </is>
      </c>
      <c r="C31" s="80" t="n">
        <v>1365</v>
      </c>
      <c r="D31" s="80" t="inlineStr">
        <is>
          <t>2,439-3,804</t>
        </is>
      </c>
      <c r="E31" s="123" t="n">
        <v>4.26</v>
      </c>
      <c r="F31" s="80" t="inlineStr">
        <is>
          <t>kb_int_89_600</t>
        </is>
      </c>
      <c r="G31" s="80" t="n">
        <v>4</v>
      </c>
      <c r="H31" s="80" t="n">
        <v>18</v>
      </c>
      <c r="I31" s="80" t="inlineStr"/>
      <c r="J31" s="80" t="inlineStr"/>
      <c r="K31" s="80" t="inlineStr"/>
    </row>
    <row r="32">
      <c r="A32" s="80" t="inlineStr">
        <is>
          <t>GF</t>
        </is>
      </c>
      <c r="B32" s="80" t="inlineStr">
        <is>
          <t>GF-P18</t>
        </is>
      </c>
      <c r="C32" s="80" t="n">
        <v>631</v>
      </c>
      <c r="D32" s="80" t="inlineStr">
        <is>
          <t>3,759-3,759</t>
        </is>
      </c>
      <c r="E32" s="123" t="n">
        <v>2.37</v>
      </c>
      <c r="F32" s="80" t="inlineStr">
        <is>
          <t>kb_int_89_400</t>
        </is>
      </c>
      <c r="G32" s="80" t="n">
        <v>3</v>
      </c>
      <c r="H32" s="80" t="n">
        <v>13</v>
      </c>
      <c r="I32" s="80" t="inlineStr"/>
      <c r="J32" s="80" t="inlineStr"/>
      <c r="K32" s="80" t="n">
        <v>4</v>
      </c>
    </row>
    <row r="33">
      <c r="A33" s="80" t="inlineStr">
        <is>
          <t>GF</t>
        </is>
      </c>
      <c r="B33" s="80" t="inlineStr">
        <is>
          <t>GF-P19</t>
        </is>
      </c>
      <c r="C33" s="80" t="n">
        <v>1605</v>
      </c>
      <c r="D33" s="80" t="inlineStr">
        <is>
          <t>5,664-5,664</t>
        </is>
      </c>
      <c r="E33" s="123" t="n">
        <v>9.09</v>
      </c>
      <c r="F33" s="80" t="inlineStr">
        <is>
          <t>kb_int_89_400</t>
        </is>
      </c>
      <c r="G33" s="80" t="n">
        <v>5</v>
      </c>
      <c r="H33" s="80" t="n">
        <v>23</v>
      </c>
      <c r="I33" s="80" t="inlineStr"/>
      <c r="J33" s="80" t="inlineStr"/>
      <c r="K33" s="80" t="n">
        <v>8</v>
      </c>
    </row>
    <row r="34">
      <c r="A34" s="80" t="inlineStr">
        <is>
          <t>GF</t>
        </is>
      </c>
      <c r="B34" s="80" t="inlineStr">
        <is>
          <t>GF-P20</t>
        </is>
      </c>
      <c r="C34" s="80" t="n">
        <v>3270</v>
      </c>
      <c r="D34" s="80" t="inlineStr">
        <is>
          <t>2,439-5,709</t>
        </is>
      </c>
      <c r="E34" s="123" t="n">
        <v>13.32</v>
      </c>
      <c r="F34" s="80" t="inlineStr">
        <is>
          <t>kb_int_89_400</t>
        </is>
      </c>
      <c r="G34" s="80" t="n">
        <v>8</v>
      </c>
      <c r="H34" s="80" t="n">
        <v>41</v>
      </c>
      <c r="I34" s="80" t="inlineStr">
        <is>
          <t>680</t>
        </is>
      </c>
      <c r="J34" s="80" t="inlineStr"/>
      <c r="K34" s="80" t="n">
        <v>6</v>
      </c>
    </row>
    <row r="36">
      <c r="A36" s="124" t="inlineStr">
        <is>
          <t>BF 8 walls 31.4 m / GF 20 walls 43.0 m = 74.4 m, 13 door openings. GF heights = min-max of the raked head.</t>
        </is>
      </c>
    </row>
  </sheetData>
  <sheetProtection selectLockedCells="0" selectUnlockedCells="0" sheet="1" objects="0" insertRows="1" insertHyperlinks="1" autoFilter="1" scenarios="0" formatColumns="0" deleteColumns="1" insertColumns="1" pivotTables="1" deleteRows="1" formatCells="1" formatRows="0" sort="1"/>
  <mergeCells count="3">
    <mergeCell ref="C2:K2"/>
    <mergeCell ref="C1:K1"/>
    <mergeCell ref="A4:K4"/>
  </mergeCells>
  <printOptions horizontalCentered="1"/>
  <pageMargins left="0.75" right="0.75" top="0.7" bottom="0.75" header="0.5" footer="0.5"/>
  <pageSetup orientation="landscape" paperSize="9" fitToHeight="0" fitToWidth="1"/>
  <headerFooter>
    <oddHeader>&amp;L&amp;8 BuildEase  |  ES26-084 Plot 1 Rivendell Park, Douglas  |  Mr K &amp; Mrs Burrell&amp;R&amp;8 Bill of Quantities Package - Finishes &amp; Ancillary Trades - Issue 01</oddHeader>
    <oddFooter>&amp;L&amp;6 &amp;KC98A1BGuidance only - NOT in the Nudura ICF price - NOT FOR CONSTRUCTION&amp;C&amp;R&amp;6 Scotland - Building Standards (Scotland); building height ~6.3 m (below 11 m)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2026-10-20T15:59:50Z</dcterms:created>
  <dcterms:modified xmlns:dcterms="http://purl.org/dc/terms/" xmlns:xsi="http://www.w3.org/2001/XMLSchema-instance" xsi:type="dcterms:W3CDTF">2026-10-20T15:59:50Z</dcterms:modified>
</cp:coreProperties>
</file>